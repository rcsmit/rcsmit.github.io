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ENTRIES" sheetId="2" state="visible" r:id="rId4"/>
    <sheet name="CHECKS" sheetId="3" state="visible" r:id="rId5"/>
    <sheet name="SUMMARY" sheetId="4" state="visible" r:id="rId6"/>
    <sheet name="CODES" sheetId="5" state="visible" r:id="rId7"/>
    <sheet name="WHEREABOUTS" sheetId="6" state="visible" r:id="rId8"/>
  </sheets>
  <definedNames>
    <definedName function="false" hidden="true" localSheetId="1" name="_xlnm._FilterDatabase" vbProcedure="false">ENTRIES!$A$1:$P$762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<sst xmlns="http://schemas.openxmlformats.org/spreadsheetml/2006/main" count="6250" uniqueCount="586">
  <si>
    <t xml:space="preserve">Example ledger: every TRANSFER case</t>
  </si>
  <si>
    <t xml:space="preserve">Anonymised example that goes with the blog post on how I keep my books. All names, accounts and amounts are made up.</t>
  </si>
  <si>
    <t xml:space="preserve">ENTRIES holds the rows. Filter column case to see one example; the note column says what each row does.</t>
  </si>
  <si>
    <t xml:space="preserve">CHECKS tests the rules: TRANSFER sums to zero overall and per id, helper sources return to zero, euro amounts match fx_amount / rate.</t>
  </si>
  <si>
    <t xml:space="preserve">SUMMARY shows income, spending and net worth, and proves that transfers change none of them.</t>
  </si>
  <si>
    <t xml:space="preserve">CODES holds the lists behind the dropdowns on ENTRIES.</t>
  </si>
  <si>
    <t xml:space="preserve">WHEREABOUTS lists where I was: one row per arrival, with Work TRUE for a stay with a job. The dashboard uses it for the days in Asia, the groceries per stay and the Work tab.</t>
  </si>
  <si>
    <t xml:space="preserve">Legend</t>
  </si>
  <si>
    <t xml:space="preserve">Blue text</t>
  </si>
  <si>
    <t xml:space="preserve">Values you type (the inputs). Edit these.</t>
  </si>
  <si>
    <t xml:space="preserve">Black text</t>
  </si>
  <si>
    <t xml:space="preserve">Formulas. Leave these alone.</t>
  </si>
  <si>
    <t xml:space="preserve">Grey rows</t>
  </si>
  <si>
    <t xml:space="preserve">TRANSFER rows on ENTRIES.</t>
  </si>
  <si>
    <t xml:space="preserve">Signs</t>
  </si>
  <si>
    <t xml:space="preserve">amount is in euros, seen from the source: + is money in, - is money out.</t>
  </si>
  <si>
    <t xml:space="preserve">case</t>
  </si>
  <si>
    <t xml:space="preserve">family</t>
  </si>
  <si>
    <t xml:space="preserve">what happens</t>
  </si>
  <si>
    <t xml:space="preserve">how it is booked</t>
  </si>
  <si>
    <t xml:space="preserve">rows</t>
  </si>
  <si>
    <t xml:space="preserve">TRANSFER sum</t>
  </si>
  <si>
    <t xml:space="preserve">effect on income</t>
  </si>
  <si>
    <t xml:space="preserve">effect on spending</t>
  </si>
  <si>
    <t xml:space="preserve">O1</t>
  </si>
  <si>
    <t xml:space="preserve">Setup</t>
  </si>
  <si>
    <t xml:space="preserve">Opening balances</t>
  </si>
  <si>
    <t xml:space="preserve">The balance of each source on the first day of the file. Not income, not a transfer.</t>
  </si>
  <si>
    <t xml:space="preserve">B0</t>
  </si>
  <si>
    <t xml:space="preserve">Background</t>
  </si>
  <si>
    <t xml:space="preserve">Ordinary rows</t>
  </si>
  <si>
    <t xml:space="preserve">Normal income and spending, so the example balances look like a real season.</t>
  </si>
  <si>
    <t xml:space="preserve">T01</t>
  </si>
  <si>
    <t xml:space="preserve">A. Between my own sources</t>
  </si>
  <si>
    <t xml:space="preserve">Saving: current account to savings</t>
  </si>
  <si>
    <t xml:space="preserve">The classic pair. Two legs, same id, opposite amounts.</t>
  </si>
  <si>
    <t xml:space="preserve">T02</t>
  </si>
  <si>
    <t xml:space="preserve">Cash from a home ATM</t>
  </si>
  <si>
    <t xml:space="preserve">Cash is a source like any other, so a withdrawal is a transfer, not spending.</t>
  </si>
  <si>
    <t xml:space="preserve">T03</t>
  </si>
  <si>
    <t xml:space="preserve">ATM abroad, with a local ATM fee</t>
  </si>
  <si>
    <t xml:space="preserve">Book the transfer at the euro amount the bank charged and the gross local amount; the fee is a negative expense row inside the cash wallet.</t>
  </si>
  <si>
    <t xml:space="preserve">T04</t>
  </si>
  <si>
    <t xml:space="preserve">Exchange inside a multi-currency app</t>
  </si>
  <si>
    <t xml:space="preserve">One source per currency pocket. The exchange is a transfer between two of them.</t>
  </si>
  <si>
    <t xml:space="preserve">T05</t>
  </si>
  <si>
    <t xml:space="preserve">Credit card: purchase, then monthly settlement</t>
  </si>
  <si>
    <t xml:space="preserve">The purchase is the expense, on the card. The settlement from the bank is only a transfer.</t>
  </si>
  <si>
    <t xml:space="preserve">T06</t>
  </si>
  <si>
    <t xml:space="preserve">Top up an online bank, pay a fee, pay rent</t>
  </si>
  <si>
    <t xml:space="preserve">Top-up is a transfer; the service fee is an expense; the rent is an expense. Three rows on the online bank, one on the bank.</t>
  </si>
  <si>
    <t xml:space="preserve">T07</t>
  </si>
  <si>
    <t xml:space="preserve">A transfer that arrives short</t>
  </si>
  <si>
    <t xml:space="preserve">The bank shows one line of -150. I split it: -149.50 transfer and -0.50 fee, same id. The legs stay equal.</t>
  </si>
  <si>
    <t xml:space="preserve">T08</t>
  </si>
  <si>
    <t xml:space="preserve">Cash-to-cash exchange at an airport</t>
  </si>
  <si>
    <t xml:space="preserve">Leftover dollars swapped for dirhams during a layover. Both legs in euros, each with its own local amount and rate.</t>
  </si>
  <si>
    <t xml:space="preserve">T09</t>
  </si>
  <si>
    <t xml:space="preserve">A transfer that crosses a month boundary</t>
  </si>
  <si>
    <t xml:space="preserve">Each leg gets the date it happened on its own source. January shows -500, February +500, the pair is zero.</t>
  </si>
  <si>
    <t xml:space="preserve">T10</t>
  </si>
  <si>
    <t xml:space="preserve">Rate adjusted so both legs are equal</t>
  </si>
  <si>
    <t xml:space="preserve">The app credited 3,690 THB for 100.00 EUR. I set the rate on the THB leg by hand to 3,690 / 100 = 36.90, so both legs are exactly 100.00.</t>
  </si>
  <si>
    <t xml:space="preserve">T11</t>
  </si>
  <si>
    <t xml:space="preserve">B. Money parked with someone else</t>
  </si>
  <si>
    <t xml:space="preserve">Deposit paid and returned</t>
  </si>
  <si>
    <t xml:space="preserve">A deposit is still mine, so it moves from cash to the helper source DEPOSITS. When it comes back, the same two rows appear with inverse amounts.</t>
  </si>
  <si>
    <t xml:space="preserve">T12</t>
  </si>
  <si>
    <t xml:space="preserve">Fraudulent card charges, reimbursed later</t>
  </si>
  <si>
    <t xml:space="preserve">Never spending, so never OUT. The bank owes me the money, so the charges go to RECEIVABLES and come back from there.</t>
  </si>
  <si>
    <t xml:space="preserve">T13</t>
  </si>
  <si>
    <t xml:space="preserve">Health insurance deductible paid in instalments</t>
  </si>
  <si>
    <t xml:space="preserve">Instalments go into INSURER_POT. The part actually used becomes a cost; the rest comes back.</t>
  </si>
  <si>
    <t xml:space="preserve">T14</t>
  </si>
  <si>
    <t xml:space="preserve">Room paid months ahead, used later</t>
  </si>
  <si>
    <t xml:space="preserve">The cost belongs to the month I sleep there. Until then the money sits in PREPAID.</t>
  </si>
  <si>
    <t xml:space="preserve">T15</t>
  </si>
  <si>
    <t xml:space="preserve">Prepaid but never used, partly sold on</t>
  </si>
  <si>
    <t xml:space="preserve">Someone takes over the booking and pays me 600. The 220 I do not get back is written off to PREPAID_UNUSED.</t>
  </si>
  <si>
    <t xml:space="preserve">T16</t>
  </si>
  <si>
    <t xml:space="preserve">Buying crypto, then a paper loss</t>
  </si>
  <si>
    <t xml:space="preserve">Buying is a transfer. A change in value is PAPER_GAIN_LOSS: it moves net worth, not spending.</t>
  </si>
  <si>
    <t xml:space="preserve">T17</t>
  </si>
  <si>
    <t xml:space="preserve">C. Money owed to me or by me</t>
  </si>
  <si>
    <t xml:space="preserve">Insurance claim: cost now, refund later</t>
  </si>
  <si>
    <t xml:space="preserve">The claim reduces the cost in the month it happened. When the money arrives, it is only a transfer out of RECEIVABLES.</t>
  </si>
  <si>
    <t xml:space="preserve">T18</t>
  </si>
  <si>
    <t xml:space="preserve">Income earned in one month, paid in the next</t>
  </si>
  <si>
    <t xml:space="preserve">April's pay arrives on 3 May. Booking it in RECEIVABLES in April keeps income in the month I worked.</t>
  </si>
  <si>
    <t xml:space="preserve">T19</t>
  </si>
  <si>
    <t xml:space="preserve">A friend paid for me, I pay back later</t>
  </si>
  <si>
    <t xml:space="preserve">My share is spending on the day of the dinner, booked on PAYABLES. Paying back is a transfer.</t>
  </si>
  <si>
    <t xml:space="preserve">T20</t>
  </si>
  <si>
    <t xml:space="preserve">Bought something for a friend, paid back with a rounding loss</t>
  </si>
  <si>
    <t xml:space="preserve">Not my spending: it goes to the friend's person account. Repaid €24.00 for €24.38; the €0.38 moves to FX_DIFF.</t>
  </si>
  <si>
    <t xml:space="preserve">T21</t>
  </si>
  <si>
    <t xml:space="preserve">Loan to a friend, partly forgiven</t>
  </si>
  <si>
    <t xml:space="preserve">Lend and repay are transfers. The part I let go is a gift, so it becomes OUT on the person account.</t>
  </si>
  <si>
    <t xml:space="preserve">T22</t>
  </si>
  <si>
    <t xml:space="preserve">A tab with a friend who pays by QR</t>
  </si>
  <si>
    <t xml:space="preserve">I give her cash; she pays small things for me by QR code. The cash is a transfer, each purchase is spending on TAB_FRIEND_B.</t>
  </si>
  <si>
    <t xml:space="preserve">T23</t>
  </si>
  <si>
    <t xml:space="preserve">Groceries for my parents, paid back next month</t>
  </si>
  <si>
    <t xml:space="preserve">I shop for my parents at the end of the month; they pay me back a few days later. The receipt stays groceries, a positive row on RECEIVABLES takes their part out of my spending, and the payment is only a transfer.</t>
  </si>
  <si>
    <t xml:space="preserve">T24</t>
  </si>
  <si>
    <t xml:space="preserve">D. Pass-through, look-alikes and corrections</t>
  </si>
  <si>
    <t xml:space="preserve">Passing money on for someone else</t>
  </si>
  <si>
    <t xml:space="preserve">Money in and straight out again on someone's behalf. Never income, never spending: four TRANSFER rows, one id, sum zero.</t>
  </si>
  <si>
    <t xml:space="preserve">T25</t>
  </si>
  <si>
    <t xml:space="preserve">Swapping cash for a bank payment</t>
  </si>
  <si>
    <t xml:space="preserve">A colleague needed cash; I got a bank payment back. Cash down, bank up, nothing spent.</t>
  </si>
  <si>
    <t xml:space="preserve">T26</t>
  </si>
  <si>
    <t xml:space="preserve">Shared bill paid back: NOT a transfer</t>
  </si>
  <si>
    <t xml:space="preserve">I paid for two, my friend paid me back half. The refund is a positive amount in the same expense category, so it reduces my spending.</t>
  </si>
  <si>
    <t xml:space="preserve">T27</t>
  </si>
  <si>
    <t xml:space="preserve">Moving an amount between categories: NOT a transfer</t>
  </si>
  <si>
    <t xml:space="preserve">Groceries partly bought as a gift. RECLASS takes 15 out of groceries and puts it in gifts. Type stays OUT; RECLASS nets to zero.</t>
  </si>
  <si>
    <t xml:space="preserve">T28</t>
  </si>
  <si>
    <t xml:space="preserve">Money I cannot place yet</t>
  </si>
  <si>
    <t xml:space="preserve">An unknown €12.34 arrives. It waits in SUSPENSE until I know what it was: a shop refund.</t>
  </si>
  <si>
    <t xml:space="preserve">T29</t>
  </si>
  <si>
    <t xml:space="preserve">Clearing FX_DIFF at the end of a period</t>
  </si>
  <si>
    <t xml:space="preserve">The small differences parked in FX_DIFF are a real cost. Twice a year I book them out to fx_costs.</t>
  </si>
  <si>
    <t xml:space="preserve">Z1</t>
  </si>
  <si>
    <t xml:space="preserve">E. Housekeeping rows</t>
  </si>
  <si>
    <t xml:space="preserve">Cash count difference</t>
  </si>
  <si>
    <t xml:space="preserve">Counted the wallet, 12 THB short. Booked as daily spending with code diff.</t>
  </si>
  <si>
    <t xml:space="preserve">Z2</t>
  </si>
  <si>
    <t xml:space="preserve">Statistics-only row</t>
  </si>
  <si>
    <t xml:space="preserve">Rent paid in euros from the card, but I want the nights and baht in my Asia stats. Amount 0, so no total changes.</t>
  </si>
  <si>
    <t xml:space="preserve">Z3</t>
  </si>
  <si>
    <t xml:space="preserve">Note row</t>
  </si>
  <si>
    <t xml:space="preserve">A zero-amount reminder in the place it belongs.</t>
  </si>
  <si>
    <t xml:space="preserve">Z4</t>
  </si>
  <si>
    <t xml:space="preserve">Year-end checkpoint</t>
  </si>
  <si>
    <t xml:space="preserve">On 31 December a zero row per source with the balance in the description. Next year I can see at once whether old rows were changed.</t>
  </si>
  <si>
    <t xml:space="preserve">Effect on spending uses the sign of amount: negative = this case adds to spending (money out), positive = it reduces spending. Transfers add nothing.</t>
  </si>
  <si>
    <t xml:space="preserve">id</t>
  </si>
  <si>
    <t xml:space="preserve">source</t>
  </si>
  <si>
    <t xml:space="preserve">date</t>
  </si>
  <si>
    <t xml:space="preserve">amount</t>
  </si>
  <si>
    <t xml:space="preserve">description</t>
  </si>
  <si>
    <t xml:space="preserve">type</t>
  </si>
  <si>
    <t xml:space="preserve">group</t>
  </si>
  <si>
    <t xml:space="preserve">category</t>
  </si>
  <si>
    <t xml:space="preserve">daily_code</t>
  </si>
  <si>
    <t xml:space="preserve">fx_amount</t>
  </si>
  <si>
    <t xml:space="preserve">currency</t>
  </si>
  <si>
    <t xml:space="preserve">rate</t>
  </si>
  <si>
    <t xml:space="preserve">fx_check</t>
  </si>
  <si>
    <t xml:space="preserve">month</t>
  </si>
  <si>
    <t xml:space="preserve">note</t>
  </si>
  <si>
    <t xml:space="preserve">BANK_CURRENT</t>
  </si>
  <si>
    <t xml:space="preserve">opening balance</t>
  </si>
  <si>
    <t xml:space="preserve">OPENING_BALANCE</t>
  </si>
  <si>
    <t xml:space="preserve">opening_balance</t>
  </si>
  <si>
    <t xml:space="preserve">first row of every source</t>
  </si>
  <si>
    <t xml:space="preserve">BANK_SAVINGS</t>
  </si>
  <si>
    <t xml:space="preserve">BANK_PENSION</t>
  </si>
  <si>
    <t xml:space="preserve">CASH_EUR</t>
  </si>
  <si>
    <t xml:space="preserve">CASH_USD</t>
  </si>
  <si>
    <t xml:space="preserve">USD</t>
  </si>
  <si>
    <t xml:space="preserve">mobile provider</t>
  </si>
  <si>
    <t xml:space="preserve">OUT_FIXED</t>
  </si>
  <si>
    <t xml:space="preserve">FIXED_COSTS</t>
  </si>
  <si>
    <t xml:space="preserve">phone_internet</t>
  </si>
  <si>
    <t xml:space="preserve">monthly to pension savings</t>
  </si>
  <si>
    <t xml:space="preserve">TRANSFER</t>
  </si>
  <si>
    <t xml:space="preserve">transfer</t>
  </si>
  <si>
    <t xml:space="preserve">leg out</t>
  </si>
  <si>
    <t xml:space="preserve">leg in</t>
  </si>
  <si>
    <t xml:space="preserve">CREDIT_CARD</t>
  </si>
  <si>
    <t xml:space="preserve">travel insurance winter</t>
  </si>
  <si>
    <t xml:space="preserve">OUT_ASIA_INSURANCE</t>
  </si>
  <si>
    <t xml:space="preserve">ASIA_PREP</t>
  </si>
  <si>
    <t xml:space="preserve">travel_insurance</t>
  </si>
  <si>
    <t xml:space="preserve">CASH_AED</t>
  </si>
  <si>
    <t xml:space="preserve">food and water at the airport</t>
  </si>
  <si>
    <t xml:space="preserve">OUT_ASIA</t>
  </si>
  <si>
    <t xml:space="preserve">ASIA_MISC</t>
  </si>
  <si>
    <t xml:space="preserve">airport</t>
  </si>
  <si>
    <t xml:space="preserve">s</t>
  </si>
  <si>
    <t xml:space="preserve">AED</t>
  </si>
  <si>
    <t xml:space="preserve">airport train</t>
  </si>
  <si>
    <t xml:space="preserve">OUT</t>
  </si>
  <si>
    <t xml:space="preserve">TRAVEL_NL</t>
  </si>
  <si>
    <t xml:space="preserve">train</t>
  </si>
  <si>
    <t xml:space="preserve">CASH_THB</t>
  </si>
  <si>
    <t xml:space="preserve">room, month</t>
  </si>
  <si>
    <t xml:space="preserve">ASIA_DAILY</t>
  </si>
  <si>
    <t xml:space="preserve">housing</t>
  </si>
  <si>
    <t xml:space="preserve">h</t>
  </si>
  <si>
    <t xml:space="preserve">THB</t>
  </si>
  <si>
    <t xml:space="preserve">eggs and toast</t>
  </si>
  <si>
    <t xml:space="preserve">daily_spending</t>
  </si>
  <si>
    <t xml:space="preserve">bf</t>
  </si>
  <si>
    <t xml:space="preserve">massaman curry</t>
  </si>
  <si>
    <t xml:space="preserve">d</t>
  </si>
  <si>
    <t xml:space="preserve">americano</t>
  </si>
  <si>
    <t xml:space="preserve">c</t>
  </si>
  <si>
    <t xml:space="preserve">storage unit</t>
  </si>
  <si>
    <t xml:space="preserve">storage_unit</t>
  </si>
  <si>
    <t xml:space="preserve">ATM withdrawal 277.18 EUR = 10,250 THB (10,000 + 250 fee)</t>
  </si>
  <si>
    <t xml:space="preserve">in</t>
  </si>
  <si>
    <t xml:space="preserve">ATM fee 250 THB</t>
  </si>
  <si>
    <t xml:space="preserve">bank_fees_asia</t>
  </si>
  <si>
    <t xml:space="preserve">misc</t>
  </si>
  <si>
    <t xml:space="preserve">cost split off, same id, negative</t>
  </si>
  <si>
    <t xml:space="preserve">noodle soup</t>
  </si>
  <si>
    <t xml:space="preserve">l</t>
  </si>
  <si>
    <t xml:space="preserve">pad thai</t>
  </si>
  <si>
    <t xml:space="preserve">iced latte</t>
  </si>
  <si>
    <t xml:space="preserve">fruit shake</t>
  </si>
  <si>
    <t xml:space="preserve">MULTI_EUR</t>
  </si>
  <si>
    <t xml:space="preserve">AI assistant subscription</t>
  </si>
  <si>
    <t xml:space="preserve">ai_tools</t>
  </si>
  <si>
    <t xml:space="preserve">fruit plate</t>
  </si>
  <si>
    <t xml:space="preserve">fried rice</t>
  </si>
  <si>
    <t xml:space="preserve">espresso</t>
  </si>
  <si>
    <t xml:space="preserve">cloud storage</t>
  </si>
  <si>
    <t xml:space="preserve">cloud_storage</t>
  </si>
  <si>
    <t xml:space="preserve">flat white</t>
  </si>
  <si>
    <t xml:space="preserve">mango</t>
  </si>
  <si>
    <t xml:space="preserve">sunscreen</t>
  </si>
  <si>
    <t xml:space="preserve">smoothie bowl</t>
  </si>
  <si>
    <t xml:space="preserve">vegan buffet</t>
  </si>
  <si>
    <t xml:space="preserve">khao soi</t>
  </si>
  <si>
    <t xml:space="preserve">muesli bowl</t>
  </si>
  <si>
    <t xml:space="preserve">fuel</t>
  </si>
  <si>
    <t xml:space="preserve">scoot</t>
  </si>
  <si>
    <t xml:space="preserve">beer</t>
  </si>
  <si>
    <t xml:space="preserve">alc</t>
  </si>
  <si>
    <t xml:space="preserve">pad see ew</t>
  </si>
  <si>
    <t xml:space="preserve">water</t>
  </si>
  <si>
    <t xml:space="preserve">ride-hailing</t>
  </si>
  <si>
    <t xml:space="preserve">taxi</t>
  </si>
  <si>
    <t xml:space="preserve">yoga class</t>
  </si>
  <si>
    <t xml:space="preserve">yoga</t>
  </si>
  <si>
    <t xml:space="preserve">book</t>
  </si>
  <si>
    <t xml:space="preserve">MULTI_THB</t>
  </si>
  <si>
    <t xml:space="preserve">yoga 10-class card</t>
  </si>
  <si>
    <t xml:space="preserve">green curry</t>
  </si>
  <si>
    <t xml:space="preserve">tip</t>
  </si>
  <si>
    <t xml:space="preserve">health insurer nv premium</t>
  </si>
  <si>
    <t xml:space="preserve">health_insurance</t>
  </si>
  <si>
    <t xml:space="preserve">tax office health allowance</t>
  </si>
  <si>
    <t xml:space="preserve">som tam</t>
  </si>
  <si>
    <t xml:space="preserve">tofu stir fry</t>
  </si>
  <si>
    <t xml:space="preserve">sticky rice</t>
  </si>
  <si>
    <t xml:space="preserve">office suite</t>
  </si>
  <si>
    <t xml:space="preserve">office_suite</t>
  </si>
  <si>
    <t xml:space="preserve">laundry</t>
  </si>
  <si>
    <t xml:space="preserve">lndry</t>
  </si>
  <si>
    <t xml:space="preserve">card settlement, travel insurance</t>
  </si>
  <si>
    <t xml:space="preserve">coconut</t>
  </si>
  <si>
    <t xml:space="preserve">ATM withdrawal 277.20 EUR = 10,250 THB (10,000 + 250 fee)</t>
  </si>
  <si>
    <t xml:space="preserve">soap</t>
  </si>
  <si>
    <t xml:space="preserve">sim card</t>
  </si>
  <si>
    <t xml:space="preserve">ATM withdrawal 100.26 EUR = 3,000,000 VND</t>
  </si>
  <si>
    <t xml:space="preserve">CASH_VND</t>
  </si>
  <si>
    <t xml:space="preserve">VND</t>
  </si>
  <si>
    <t xml:space="preserve">eggs and bread</t>
  </si>
  <si>
    <t xml:space="preserve">bun cha</t>
  </si>
  <si>
    <t xml:space="preserve">sugar cane juice</t>
  </si>
  <si>
    <t xml:space="preserve">interest 2025</t>
  </si>
  <si>
    <t xml:space="preserve">IN</t>
  </si>
  <si>
    <t xml:space="preserve">INTEREST</t>
  </si>
  <si>
    <t xml:space="preserve">interest</t>
  </si>
  <si>
    <t xml:space="preserve">ATM withdrawal 100.00 EUR = 3,000,000 VND</t>
  </si>
  <si>
    <t xml:space="preserve">ATM withdrawal 165.35 EUR = 5,000,000 VND</t>
  </si>
  <si>
    <t xml:space="preserve">coconut coffee</t>
  </si>
  <si>
    <t xml:space="preserve">pastry</t>
  </si>
  <si>
    <t xml:space="preserve">pho</t>
  </si>
  <si>
    <t xml:space="preserve">pho for breakfast</t>
  </si>
  <si>
    <t xml:space="preserve">visa extension 750,000 VND</t>
  </si>
  <si>
    <t xml:space="preserve">OUT_ASIA_PREPAID</t>
  </si>
  <si>
    <t xml:space="preserve">visa</t>
  </si>
  <si>
    <t xml:space="preserve">egg coffee</t>
  </si>
  <si>
    <t xml:space="preserve">banh mi</t>
  </si>
  <si>
    <t xml:space="preserve">fruit</t>
  </si>
  <si>
    <t xml:space="preserve">com chay</t>
  </si>
  <si>
    <t xml:space="preserve">vegan hotpot</t>
  </si>
  <si>
    <t xml:space="preserve">tofu curry</t>
  </si>
  <si>
    <t xml:space="preserve">ATM withdrawal 99.60 EUR = 3,000,000 VND</t>
  </si>
  <si>
    <t xml:space="preserve">iced coffee</t>
  </si>
  <si>
    <t xml:space="preserve">pharmacy</t>
  </si>
  <si>
    <t xml:space="preserve">spring rolls</t>
  </si>
  <si>
    <t xml:space="preserve">ATM withdrawal 99.90 EUR = 3,000,000 VND</t>
  </si>
  <si>
    <t xml:space="preserve">ATM withdrawal 100.03 EUR = 3,000,000 VND</t>
  </si>
  <si>
    <t xml:space="preserve">website hosting, yearly</t>
  </si>
  <si>
    <t xml:space="preserve">hosting</t>
  </si>
  <si>
    <t xml:space="preserve">ATM withdrawal 99.85 EUR = 3,000,000 VND</t>
  </si>
  <si>
    <t xml:space="preserve">tax office, income tax refund 2025</t>
  </si>
  <si>
    <t xml:space="preserve">TAX_REFUNDS</t>
  </si>
  <si>
    <t xml:space="preserve">income_tax_refund</t>
  </si>
  <si>
    <t xml:space="preserve">ATM withdrawal 99.89 EUR = 3,000,000 VND</t>
  </si>
  <si>
    <t xml:space="preserve">ATM withdrawal 166.22 EUR = 5,000,000 VND</t>
  </si>
  <si>
    <t xml:space="preserve">room, half month</t>
  </si>
  <si>
    <t xml:space="preserve">interest Q1</t>
  </si>
  <si>
    <t xml:space="preserve">train from the airport</t>
  </si>
  <si>
    <t xml:space="preserve">Bookshop</t>
  </si>
  <si>
    <t xml:space="preserve">MISC</t>
  </si>
  <si>
    <t xml:space="preserve">Supermarket Noord</t>
  </si>
  <si>
    <t xml:space="preserve">GROCERIES</t>
  </si>
  <si>
    <t xml:space="preserve">groceries</t>
  </si>
  <si>
    <t xml:space="preserve">Coffee Corner</t>
  </si>
  <si>
    <t xml:space="preserve">EATING_OUT</t>
  </si>
  <si>
    <t xml:space="preserve">Organic Store</t>
  </si>
  <si>
    <t xml:space="preserve">Cafe Plein</t>
  </si>
  <si>
    <t xml:space="preserve">seasonal job, salary</t>
  </si>
  <si>
    <t xml:space="preserve">SALARY</t>
  </si>
  <si>
    <t xml:space="preserve">salary</t>
  </si>
  <si>
    <t xml:space="preserve">groceries_seasonal_job</t>
  </si>
  <si>
    <t xml:space="preserve">supermarket</t>
  </si>
  <si>
    <t xml:space="preserve">Village Grocer</t>
  </si>
  <si>
    <t xml:space="preserve">Discount Market</t>
  </si>
  <si>
    <t xml:space="preserve">Station kiosk</t>
  </si>
  <si>
    <t xml:space="preserve">rail operator</t>
  </si>
  <si>
    <t xml:space="preserve">storage unit, refund one month (moved out early)</t>
  </si>
  <si>
    <t xml:space="preserve">card settlement previous statement</t>
  </si>
  <si>
    <t xml:space="preserve">to savings</t>
  </si>
  <si>
    <t xml:space="preserve">ATM withdrawal</t>
  </si>
  <si>
    <t xml:space="preserve">ATM withdrawal 277.70 EUR = 10,250 THB (10,000 + 250 fee)</t>
  </si>
  <si>
    <t xml:space="preserve">top up app</t>
  </si>
  <si>
    <t xml:space="preserve">exchanged 200.00 EUR = 7,364 THB</t>
  </si>
  <si>
    <t xml:space="preserve">airline, return flight</t>
  </si>
  <si>
    <t xml:space="preserve">OUT_ASIA_FLIGHTS</t>
  </si>
  <si>
    <t xml:space="preserve">ASIA_FLIGHTS</t>
  </si>
  <si>
    <t xml:space="preserve">flights</t>
  </si>
  <si>
    <t xml:space="preserve">top up online bank</t>
  </si>
  <si>
    <t xml:space="preserve">BANK_ONLINE</t>
  </si>
  <si>
    <t xml:space="preserve">service fee</t>
  </si>
  <si>
    <t xml:space="preserve">bank_fees</t>
  </si>
  <si>
    <t xml:space="preserve">cost split off, same id</t>
  </si>
  <si>
    <t xml:space="preserve">guesthouse December 126.00 EUR = 4,650 THB</t>
  </si>
  <si>
    <t xml:space="preserve">to foreign account (part 1 of bank line -150.00)</t>
  </si>
  <si>
    <t xml:space="preserve">international transfer fee (part 2 of bank line -150.00)</t>
  </si>
  <si>
    <t xml:space="preserve">FOREIGN_BANK</t>
  </si>
  <si>
    <t xml:space="preserve">received from home account</t>
  </si>
  <si>
    <t xml:space="preserve">exchanged at airport 60 USD = 220 AED (51.24 EUR)</t>
  </si>
  <si>
    <t xml:space="preserve">top up app (arrived 2 Feb)</t>
  </si>
  <si>
    <t xml:space="preserve">top up 100.00 EUR = 3,690 THB</t>
  </si>
  <si>
    <t xml:space="preserve">scooter deposit 1,000 THB</t>
  </si>
  <si>
    <t xml:space="preserve">deposit</t>
  </si>
  <si>
    <t xml:space="preserve">DEPOSITS</t>
  </si>
  <si>
    <t xml:space="preserve">scooter deposit returned 1,000 THB</t>
  </si>
  <si>
    <t xml:space="preserve">unknown merchant 55 USD = 50.70 EUR (fraud)</t>
  </si>
  <si>
    <t xml:space="preserve">fraud</t>
  </si>
  <si>
    <t xml:space="preserve">RECEIVABLES</t>
  </si>
  <si>
    <t xml:space="preserve">FX surcharge on fraudulent charge</t>
  </si>
  <si>
    <t xml:space="preserve">reimbursement fraudulent charge + surcharge</t>
  </si>
  <si>
    <t xml:space="preserve">deductible instalment</t>
  </si>
  <si>
    <t xml:space="preserve">INSURER_POT</t>
  </si>
  <si>
    <t xml:space="preserve">deductible used: prescription</t>
  </si>
  <si>
    <t xml:space="preserve">CLOTHING_CARE</t>
  </si>
  <si>
    <t xml:space="preserve">the real cost</t>
  </si>
  <si>
    <t xml:space="preserve">deductible settlement, unused part back</t>
  </si>
  <si>
    <t xml:space="preserve">homestay February, paid ahead</t>
  </si>
  <si>
    <t xml:space="preserve">PREPAID</t>
  </si>
  <si>
    <t xml:space="preserve">homestay February (prepaid) 180.00 EUR = 5,400,000 VND</t>
  </si>
  <si>
    <t xml:space="preserve">used: now it is a cost</t>
  </si>
  <si>
    <t xml:space="preserve">cabin next winter, paid ahead</t>
  </si>
  <si>
    <t xml:space="preserve">booking taken over by someone else</t>
  </si>
  <si>
    <t xml:space="preserve">ONLINE_WALLET</t>
  </si>
  <si>
    <t xml:space="preserve">cabin next winter, not refunded</t>
  </si>
  <si>
    <t xml:space="preserve">PREPAID_UNUSED</t>
  </si>
  <si>
    <t xml:space="preserve">accommodation_unused</t>
  </si>
  <si>
    <t xml:space="preserve">write-off</t>
  </si>
  <si>
    <t xml:space="preserve">wallet to bank</t>
  </si>
  <si>
    <t xml:space="preserve">buy crypto</t>
  </si>
  <si>
    <t xml:space="preserve">CRYPTO</t>
  </si>
  <si>
    <t xml:space="preserve">revaluation end of month</t>
  </si>
  <si>
    <t xml:space="preserve">PAPER_GAIN_LOSS</t>
  </si>
  <si>
    <t xml:space="preserve">revaluation</t>
  </si>
  <si>
    <t xml:space="preserve">doctor visit 2,000 THB</t>
  </si>
  <si>
    <t xml:space="preserve">medical_asia</t>
  </si>
  <si>
    <t xml:space="preserve">the cost</t>
  </si>
  <si>
    <t xml:space="preserve">claim filed with insurer</t>
  </si>
  <si>
    <t xml:space="preserve">claim offsets the cost</t>
  </si>
  <si>
    <t xml:space="preserve">insurer pays claim</t>
  </si>
  <si>
    <t xml:space="preserve">April pay, earned</t>
  </si>
  <si>
    <t xml:space="preserve">income recognised</t>
  </si>
  <si>
    <t xml:space="preserve">April pay received</t>
  </si>
  <si>
    <t xml:space="preserve">PAYABLES</t>
  </si>
  <si>
    <t xml:space="preserve">my share of group dinner, paid by friend</t>
  </si>
  <si>
    <t xml:space="preserve">restaurant</t>
  </si>
  <si>
    <t xml:space="preserve">cost, owed</t>
  </si>
  <si>
    <t xml:space="preserve">paid friend back</t>
  </si>
  <si>
    <t xml:space="preserve">protein powder for friend 900 THB = 24.38 EUR</t>
  </si>
  <si>
    <t xml:space="preserve">PERSON_A</t>
  </si>
  <si>
    <t xml:space="preserve">friend pays back via payment request</t>
  </si>
  <si>
    <t xml:space="preserve">rounding difference, accepted</t>
  </si>
  <si>
    <t xml:space="preserve">FX_DIFF</t>
  </si>
  <si>
    <t xml:space="preserve">loan to friend</t>
  </si>
  <si>
    <t xml:space="preserve">loan repaid</t>
  </si>
  <si>
    <t xml:space="preserve">rest of loan forgiven</t>
  </si>
  <si>
    <t xml:space="preserve">gifts_given</t>
  </si>
  <si>
    <t xml:space="preserve">now it is a gift</t>
  </si>
  <si>
    <t xml:space="preserve">cash to friend for QR payments 600,000 VND = 20.00 EUR</t>
  </si>
  <si>
    <t xml:space="preserve">TAB_FRIEND_B</t>
  </si>
  <si>
    <t xml:space="preserve">vegan dinner, paid by friend's QR</t>
  </si>
  <si>
    <t xml:space="preserve">coffee, paid by friend's QR</t>
  </si>
  <si>
    <t xml:space="preserve">noodle soup and juices, paid by friend's QR</t>
  </si>
  <si>
    <t xml:space="preserve">supermarket, own groceries and my parents' order</t>
  </si>
  <si>
    <t xml:space="preserve">the whole receipt</t>
  </si>
  <si>
    <t xml:space="preserve">my parents' part of the groceries, they pay next month</t>
  </si>
  <si>
    <t xml:space="preserve">their part out of my spending</t>
  </si>
  <si>
    <t xml:space="preserve">parents pay back groceries</t>
  </si>
  <si>
    <t xml:space="preserve">received from friend for her rent</t>
  </si>
  <si>
    <t xml:space="preserve">in, not mine</t>
  </si>
  <si>
    <t xml:space="preserve">to online bank</t>
  </si>
  <si>
    <t xml:space="preserve">sent to friend's landlord</t>
  </si>
  <si>
    <t xml:space="preserve">out, not mine</t>
  </si>
  <si>
    <t xml:space="preserve">cash swapped for bank payment</t>
  </si>
  <si>
    <t xml:space="preserve">dinner for two</t>
  </si>
  <si>
    <t xml:space="preserve">paid in full</t>
  </si>
  <si>
    <t xml:space="preserve">friend pays back half via payment request</t>
  </si>
  <si>
    <t xml:space="preserve">positive OUT, not IN</t>
  </si>
  <si>
    <t xml:space="preserve">RECLASS</t>
  </si>
  <si>
    <t xml:space="preserve">move from groceries to gifts</t>
  </si>
  <si>
    <t xml:space="preserve">out of groceries</t>
  </si>
  <si>
    <t xml:space="preserve">into gifts</t>
  </si>
  <si>
    <t xml:space="preserve">SUSPENSE</t>
  </si>
  <si>
    <t xml:space="preserve">unknown incoming, to investigate</t>
  </si>
  <si>
    <t xml:space="preserve">identified: refund webshop</t>
  </si>
  <si>
    <t xml:space="preserve">SUSPENSE back to zero</t>
  </si>
  <si>
    <t xml:space="preserve">clear rounding differences</t>
  </si>
  <si>
    <t xml:space="preserve">fx_costs</t>
  </si>
  <si>
    <t xml:space="preserve">FX_DIFF back to zero</t>
  </si>
  <si>
    <t xml:space="preserve">cash count short 12 THB</t>
  </si>
  <si>
    <t xml:space="preserve">diff</t>
  </si>
  <si>
    <t xml:space="preserve">count result</t>
  </si>
  <si>
    <t xml:space="preserve">guesthouse March, paid by card</t>
  </si>
  <si>
    <t xml:space="preserve">the real payment</t>
  </si>
  <si>
    <t xml:space="preserve">STATS_ONLY</t>
  </si>
  <si>
    <t xml:space="preserve">guesthouse March: 31 nights, 6,600,000 VND = 220.00 EUR (paid by card, id 5201)</t>
  </si>
  <si>
    <t xml:space="preserve">zero amount, local details only</t>
  </si>
  <si>
    <t xml:space="preserve">counted: notes 230, coins 12.00</t>
  </si>
  <si>
    <t xml:space="preserve">zero amount, note only</t>
  </si>
  <si>
    <t xml:space="preserve">checkpoint 31 Dec 2025: balance 4,653.45</t>
  </si>
  <si>
    <t xml:space="preserve">checkpoint</t>
  </si>
  <si>
    <t xml:space="preserve">zero amount, balance in text</t>
  </si>
  <si>
    <t xml:space="preserve">checkpoint 31 Dec 2025: balance 187.69</t>
  </si>
  <si>
    <t xml:space="preserve">checkpoint 31 Dec 2025: balance 180.00</t>
  </si>
  <si>
    <t xml:space="preserve">Checks</t>
  </si>
  <si>
    <t xml:space="preserve">All formulas read ENTRIES. A check passes when its status reads OK.</t>
  </si>
  <si>
    <t xml:space="preserve">#</t>
  </si>
  <si>
    <t xml:space="preserve">check</t>
  </si>
  <si>
    <t xml:space="preserve">value</t>
  </si>
  <si>
    <t xml:space="preserve">status</t>
  </si>
  <si>
    <t xml:space="preserve">what a failure usually means</t>
  </si>
  <si>
    <t xml:space="preserve">Sum of all TRANSFER rows</t>
  </si>
  <si>
    <t xml:space="preserve">A leg is missing, doubled or has the wrong sign</t>
  </si>
  <si>
    <t xml:space="preserve">TRANSFER ids that do not sum to zero</t>
  </si>
  <si>
    <t xml:space="preserve">See the per-id table below for the exact pair</t>
  </si>
  <si>
    <t xml:space="preserve">Months whose TRANSFER sum is not zero</t>
  </si>
  <si>
    <t xml:space="preserve">A pair with legs in different months (T09, T12): fine if explained</t>
  </si>
  <si>
    <t xml:space="preserve">Helper sources not at zero</t>
  </si>
  <si>
    <t xml:space="preserve">An open claim, tab or prepayment: fine if you know what it is</t>
  </si>
  <si>
    <t xml:space="preserve">Rows where amount is not exactly ROUND(fx_amount / rate, 2)</t>
  </si>
  <si>
    <t xml:space="preserve">A typo or a wrong sign; adjust the amount by hand so the difference is 0</t>
  </si>
  <si>
    <t xml:space="preserve">Real sources vs statement, app or cash count</t>
  </si>
  <si>
    <t xml:space="preserve">manual</t>
  </si>
  <si>
    <t xml:space="preserve">Compare the balance table below with the outside world</t>
  </si>
  <si>
    <t xml:space="preserve">Bank statement line by line</t>
  </si>
  <si>
    <t xml:space="preserve">Load the bank CSV in the reconciliation tool</t>
  </si>
  <si>
    <t xml:space="preserve">Check 2 · TRANSFER sum per id</t>
  </si>
  <si>
    <t xml:space="preserve">Check 3 · TRANSFER sum per month</t>
  </si>
  <si>
    <t xml:space="preserve">explanation when not zero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</si>
  <si>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</si>
  <si>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</si>
  <si>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</si>
  <si>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</si>
  <si>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</si>
  <si>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</si>
  <si>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</si>
  <si>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</si>
  <si>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</si>
  <si>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Checks 4 and 6 · balance per source</t>
  </si>
  <si>
    <t xml:space="preserve">what it is</t>
  </si>
  <si>
    <t xml:space="preserve">kind</t>
  </si>
  <si>
    <t xml:space="preserve">balance €</t>
  </si>
  <si>
    <t xml:space="preserve">local balance</t>
  </si>
  <si>
    <t xml:space="preserve">Current account</t>
  </si>
  <si>
    <t xml:space="preserve">Savings account</t>
  </si>
  <si>
    <t xml:space="preserve">Pension savings, locked until retirement</t>
  </si>
  <si>
    <t xml:space="preserve">Credit card</t>
  </si>
  <si>
    <t xml:space="preserve">Small account abroad</t>
  </si>
  <si>
    <t xml:space="preserve">Multi-currency app, EUR pocket</t>
  </si>
  <si>
    <t xml:space="preserve">Multi-currency app, THB pocket</t>
  </si>
  <si>
    <t xml:space="preserve">Online bank / money-transfer service</t>
  </si>
  <si>
    <t xml:space="preserve">Online payment wallet</t>
  </si>
  <si>
    <t xml:space="preserve">Cash, euro</t>
  </si>
  <si>
    <t xml:space="preserve">Cash, Thai baht</t>
  </si>
  <si>
    <t xml:space="preserve">Cash, Vietnamese dong</t>
  </si>
  <si>
    <t xml:space="preserve">Cash, US dollar</t>
  </si>
  <si>
    <t xml:space="preserve">Cash, UAE dirham</t>
  </si>
  <si>
    <t xml:space="preserve">Crypto holding</t>
  </si>
  <si>
    <t xml:space="preserve">Owed to me by an organisation</t>
  </si>
  <si>
    <t xml:space="preserve">I owe someone</t>
  </si>
  <si>
    <t xml:space="preserve">Services paid ahead</t>
  </si>
  <si>
    <t xml:space="preserve">Deposits held by landlords and rentals</t>
  </si>
  <si>
    <t xml:space="preserve">Deductible instalments with insurer</t>
  </si>
  <si>
    <t xml:space="preserve">Loans to and from one friend</t>
  </si>
  <si>
    <t xml:space="preserve">Cash with a friend who pays by QR</t>
  </si>
  <si>
    <t xml:space="preserve">Rounding differences on repayments</t>
  </si>
  <si>
    <t xml:space="preserve">Moves between categories</t>
  </si>
  <si>
    <t xml:space="preserve">Money not yet placed</t>
  </si>
  <si>
    <t xml:space="preserve">Zero-amount rows with local details</t>
  </si>
  <si>
    <t xml:space="preserve">Local balance = sum of fx_amount, to compare with counted cash or the app pocket.</t>
  </si>
  <si>
    <t xml:space="preserve">Summary</t>
  </si>
  <si>
    <t xml:space="preserve">Income, spending and net worth from ENTRIES. TRANSFER rows change none of these totals.</t>
  </si>
  <si>
    <t xml:space="preserve">line</t>
  </si>
  <si>
    <t xml:space="preserve">€</t>
  </si>
  <si>
    <t xml:space="preserve">Income (IN)</t>
  </si>
  <si>
    <t xml:space="preserve">Spending, Europe (OUT)</t>
  </si>
  <si>
    <t xml:space="preserve">Spending, fixed (OUT_FIXED)</t>
  </si>
  <si>
    <t xml:space="preserve">Spending, Asia (OUT_ASIA*)</t>
  </si>
  <si>
    <t xml:space="preserve">Paper gains and losses</t>
  </si>
  <si>
    <t xml:space="preserve">Transfers (must be 0)</t>
  </si>
  <si>
    <t xml:space="preserve">Uncategorised</t>
  </si>
  <si>
    <t xml:space="preserve">Net worth now (sum of all rows)</t>
  </si>
  <si>
    <t xml:space="preserve">Net worth from the lines above</t>
  </si>
  <si>
    <t xml:space="preserve">Difference (must be 0)</t>
  </si>
  <si>
    <t xml:space="preserve">Per month (sign of amount: costs are negative)</t>
  </si>
  <si>
    <t xml:space="preserve">income</t>
  </si>
  <si>
    <t xml:space="preserve">Europe</t>
  </si>
  <si>
    <t xml:space="preserve">fixed</t>
  </si>
  <si>
    <t xml:space="preserve">Asia</t>
  </si>
  <si>
    <t xml:space="preserve">total spending</t>
  </si>
  <si>
    <t xml:space="preserve">transfers</t>
  </si>
  <si>
    <t xml:space="preserve">Total</t>
  </si>
  <si>
    <t xml:space="preserve">Code lists</t>
  </si>
  <si>
    <t xml:space="preserve">These lists feed the dropdowns on ENTRIES. Add a code here before using it there.</t>
  </si>
  <si>
    <t xml:space="preserve">meaning</t>
  </si>
  <si>
    <t xml:space="preserve">Income: earned or received for keeps</t>
  </si>
  <si>
    <t xml:space="preserve">real</t>
  </si>
  <si>
    <t xml:space="preserve">Breakfast</t>
  </si>
  <si>
    <t xml:space="preserve">Spending, Netherlands and Europe</t>
  </si>
  <si>
    <t xml:space="preserve">Lunch</t>
  </si>
  <si>
    <t xml:space="preserve">Fixed costs, all year</t>
  </si>
  <si>
    <t xml:space="preserve">Dinner</t>
  </si>
  <si>
    <t xml:space="preserve">Daily life in Asia</t>
  </si>
  <si>
    <t xml:space="preserve">MISC_IN</t>
  </si>
  <si>
    <t xml:space="preserve">Coffee</t>
  </si>
  <si>
    <t xml:space="preserve">Flights to and from Asia</t>
  </si>
  <si>
    <t xml:space="preserve">Snacks and drinks</t>
  </si>
  <si>
    <t xml:space="preserve">Travel insurance</t>
  </si>
  <si>
    <t xml:space="preserve">Alcohol</t>
  </si>
  <si>
    <t xml:space="preserve">Visa, vaccinations, paid before leaving</t>
  </si>
  <si>
    <t xml:space="preserve">Housing</t>
  </si>
  <si>
    <t xml:space="preserve">Money moving between my own sources; must net to zero</t>
  </si>
  <si>
    <t xml:space="preserve">Scooter</t>
  </si>
  <si>
    <t xml:space="preserve">Opening balance or zero-amount checkpoint</t>
  </si>
  <si>
    <t xml:space="preserve">Taxi or ride-hailing</t>
  </si>
  <si>
    <t xml:space="preserve">Revaluation, e.g. crypto</t>
  </si>
  <si>
    <t xml:space="preserve">TRAVEL_EUROPE</t>
  </si>
  <si>
    <t xml:space="preserve">tix</t>
  </si>
  <si>
    <t xml:space="preserve">Bus, train, ferry</t>
  </si>
  <si>
    <t xml:space="preserve">UNCATEGORISED</t>
  </si>
  <si>
    <t xml:space="preserve">Imported, not yet labelled</t>
  </si>
  <si>
    <t xml:space="preserve">Classes</t>
  </si>
  <si>
    <t xml:space="preserve">Laundry</t>
  </si>
  <si>
    <t xml:space="preserve">tour</t>
  </si>
  <si>
    <t xml:space="preserve">Sights</t>
  </si>
  <si>
    <t xml:space="preserve">Tips</t>
  </si>
  <si>
    <t xml:space="preserve">Visa extension</t>
  </si>
  <si>
    <t xml:space="preserve">helper</t>
  </si>
  <si>
    <t xml:space="preserve">Everything else</t>
  </si>
  <si>
    <t xml:space="preserve">Cash coming in</t>
  </si>
  <si>
    <t xml:space="preserve">Location</t>
  </si>
  <si>
    <t xml:space="preserve">Country</t>
  </si>
  <si>
    <t xml:space="preserve">Work</t>
  </si>
  <si>
    <t xml:space="preserve">Arrival</t>
  </si>
  <si>
    <t xml:space="preserve">days</t>
  </si>
  <si>
    <t xml:space="preserve">Hometown</t>
  </si>
  <si>
    <t xml:space="preserve">NL</t>
  </si>
  <si>
    <t xml:space="preserve">Dubai airport</t>
  </si>
  <si>
    <t xml:space="preserve">AE</t>
  </si>
  <si>
    <t xml:space="preserve">Chiang Mai</t>
  </si>
  <si>
    <t xml:space="preserve">TH</t>
  </si>
  <si>
    <t xml:space="preserve">Koh Phangan</t>
  </si>
  <si>
    <t xml:space="preserve">Hoi An</t>
  </si>
  <si>
    <t xml:space="preserve">VN</t>
  </si>
  <si>
    <t xml:space="preserve">Campsite job</t>
  </si>
  <si>
    <t xml:space="preserve">One row per arrival. A stay lasts until the day before the next arrival; the last one runs to the end of the ledger. Country is the two-letter code; every country outside Europe counts as a stay in Asia. Work is TRUE for a stay where I had a job.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</si>
</sst>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0;\-#,##0.00;\-"/>
    <numFmt numFmtId="167" formatCode="yyyy\-mm\-dd"/>
    <numFmt numFmtId="168" formatCode="#,##0.##;\-#,##0.##;\-"/>
    <numFmt numFmtId="169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F6F5"/>
        <bgColor rgb="FFFFFFFF"/>
      </patternFill>
    </fill>
    <fill>
      <patternFill patternType="solid">
        <fgColor rgb="FF1D6A5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D6A56"/>
          <bgColor rgb="FF000000"/>
        </patternFill>
      </fill>
    </dxf>
    <dxf>
      <fill>
        <patternFill patternType="solid">
          <fgColor rgb="FFF3F6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>
          <bgColor rgb="FFF3F6F5"/>
        </patternFill>
      </fill>
    </dxf>
    <dxf>
      <fill>
        <patternFill>
          <bgColor rgb="FFFBE3DC"/>
        </patternFill>
      </fill>
    </dxf>
    <dxf>
      <fill>
        <patternFill>
          <bgColor rgb="FFE0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A56"/>
      <rgbColor rgb="FFC0C0C0"/>
      <rgbColor rgb="FF808080"/>
      <rgbColor rgb="FF9999FF"/>
      <rgbColor rgb="FF993366"/>
      <rgbColor rgb="FFF3F6F5"/>
      <rgbColor rgb="FFE0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7" min="6" style="0" width="13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 t="s">
        <v>3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 t="s">
        <v>4</v>
      </c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3" t="s">
        <v>5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3" t="s">
        <v>6</v>
      </c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">
        <v>7</v>
      </c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5" t="s">
        <v>8</v>
      </c>
      <c r="B10" s="3" t="s">
        <v>9</v>
      </c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3" t="s">
        <v>10</v>
      </c>
      <c r="B11" s="3" t="s">
        <v>11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6" t="s">
        <v>12</v>
      </c>
      <c r="B12" s="3" t="s">
        <v>13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3" t="s">
        <v>14</v>
      </c>
      <c r="B13" s="3" t="s">
        <v>15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7" t="s">
        <v>16</v>
      </c>
      <c r="B15" s="7" t="s">
        <v>17</v>
      </c>
      <c r="C15" s="7" t="s">
        <v>18</v>
      </c>
      <c r="D15" s="7" t="s">
        <v>19</v>
      </c>
      <c r="E15" s="7" t="s">
        <v>20</v>
      </c>
      <c r="F15" s="7" t="s">
        <v>21</v>
      </c>
      <c r="G15" s="7" t="s">
        <v>22</v>
      </c>
      <c r="H15" s="7" t="s">
        <v>23</v>
      </c>
    </row>
    <row r="16" customFormat="false" ht="15" hidden="false" customHeight="false" outlineLevel="0" collapsed="false">
      <c r="A16" s="8" t="s">
        <v>24</v>
      </c>
      <c r="B16" s="9" t="s">
        <v>25</v>
      </c>
      <c r="C16" s="10" t="s">
        <v>26</v>
      </c>
      <c r="D16" s="9" t="s">
        <v>27</v>
      </c>
      <c r="E16" s="11" t="n">
        <f aca="false">COUNTIF(ENTRIES!$A$2:$A$2000,A16)</f>
        <v>5</v>
      </c>
      <c r="F16" s="12" t="n">
        <f aca="false">ROUND(SUMIFS(ENTRIES!$E$2:$E$2000,ENTRIES!$A$2:$A$2000,A16,ENTRIES!$G$2:$G$2000,"TRANSFER"),2)</f>
        <v>0</v>
      </c>
      <c r="G16" s="12" t="n">
        <f aca="false">SUMIFS(ENTRIES!$E$2:$E$2000,ENTRIES!$A$2:$A$2000,A16,ENTRIES!$G$2:$G$2000,"IN")</f>
        <v>0</v>
      </c>
      <c r="H16" s="12" t="n">
        <f aca="false">SUMPRODUCT((ENTRIES!$A$2:$A$2000=A16)*(LEFT(ENTRIES!$G$2:$G$2000,3)="OUT"),ENTRIES!$E$2:$E$2000)</f>
        <v>0</v>
      </c>
    </row>
    <row r="17" customFormat="false" ht="15" hidden="false" customHeight="false" outlineLevel="0" collapsed="false">
      <c r="A17" s="8" t="s">
        <v>28</v>
      </c>
      <c r="B17" s="9" t="s">
        <v>29</v>
      </c>
      <c r="C17" s="10" t="s">
        <v>30</v>
      </c>
      <c r="D17" s="9" t="s">
        <v>31</v>
      </c>
      <c r="E17" s="11" t="n">
        <f aca="false">COUNTIF(ENTRIES!$A$2:$A$2000,A17)</f>
        <v>641</v>
      </c>
      <c r="F17" s="12" t="n">
        <f aca="false">ROUND(SUMIFS(ENTRIES!$E$2:$E$2000,ENTRIES!$A$2:$A$2000,A17,ENTRIES!$G$2:$G$2000,"TRANSFER"),2)</f>
        <v>0</v>
      </c>
      <c r="G17" s="12" t="n">
        <f aca="false">SUMIFS(ENTRIES!$E$2:$E$2000,ENTRIES!$A$2:$A$2000,A17,ENTRIES!$G$2:$G$2000,"IN")</f>
        <v>4957.3</v>
      </c>
      <c r="H17" s="12" t="n">
        <f aca="false">SUMPRODUCT((ENTRIES!$A$2:$A$2000=A17)*(LEFT(ENTRIES!$G$2:$G$2000,3)="OUT"),ENTRIES!$E$2:$E$2000)</f>
        <v>-3788.38</v>
      </c>
    </row>
    <row r="18" customFormat="false" ht="23.85" hidden="false" customHeight="false" outlineLevel="0" collapsed="false">
      <c r="A18" s="8" t="s">
        <v>32</v>
      </c>
      <c r="B18" s="9" t="s">
        <v>33</v>
      </c>
      <c r="C18" s="10" t="s">
        <v>34</v>
      </c>
      <c r="D18" s="9" t="s">
        <v>35</v>
      </c>
      <c r="E18" s="11" t="n">
        <f aca="false">COUNTIF(ENTRIES!$A$2:$A$2000,A18)</f>
        <v>4</v>
      </c>
      <c r="F18" s="12" t="n">
        <f aca="false">ROUND(SUMIFS(ENTRIES!$E$2:$E$2000,ENTRIES!$A$2:$A$2000,A18,ENTRIES!$G$2:$G$2000,"TRANSFER"),2)</f>
        <v>0</v>
      </c>
      <c r="G18" s="12" t="n">
        <f aca="false">SUMIFS(ENTRIES!$E$2:$E$2000,ENTRIES!$A$2:$A$2000,A18,ENTRIES!$G$2:$G$2000,"IN")</f>
        <v>0</v>
      </c>
      <c r="H18" s="12" t="n">
        <f aca="false">SUMPRODUCT((ENTRIES!$A$2:$A$2000=A18)*(LEFT(ENTRIES!$G$2:$G$2000,3)="OUT"),ENTRIES!$E$2:$E$2000)</f>
        <v>0</v>
      </c>
    </row>
    <row r="19" customFormat="false" ht="23.85" hidden="false" customHeight="false" outlineLevel="0" collapsed="false">
      <c r="A19" s="8" t="s">
        <v>36</v>
      </c>
      <c r="B19" s="9" t="s">
        <v>33</v>
      </c>
      <c r="C19" s="10" t="s">
        <v>37</v>
      </c>
      <c r="D19" s="9" t="s">
        <v>38</v>
      </c>
      <c r="E19" s="11" t="n">
        <f aca="false">COUNTIF(ENTRIES!$A$2:$A$2000,A19)</f>
        <v>2</v>
      </c>
      <c r="F19" s="12" t="n">
        <f aca="false">ROUND(SUMIFS(ENTRIES!$E$2:$E$2000,ENTRIES!$A$2:$A$2000,A19,ENTRIES!$G$2:$G$2000,"TRANSFER"),2)</f>
        <v>0</v>
      </c>
      <c r="G19" s="12" t="n">
        <f aca="false">SUMIFS(ENTRIES!$E$2:$E$2000,ENTRIES!$A$2:$A$2000,A19,ENTRIES!$G$2:$G$2000,"IN")</f>
        <v>0</v>
      </c>
      <c r="H19" s="12" t="n">
        <f aca="false">SUMPRODUCT((ENTRIES!$A$2:$A$2000=A19)*(LEFT(ENTRIES!$G$2:$G$2000,3)="OUT"),ENTRIES!$E$2:$E$2000)</f>
        <v>0</v>
      </c>
    </row>
    <row r="20" customFormat="false" ht="23.85" hidden="false" customHeight="false" outlineLevel="0" collapsed="false">
      <c r="A20" s="8" t="s">
        <v>39</v>
      </c>
      <c r="B20" s="9" t="s">
        <v>33</v>
      </c>
      <c r="C20" s="10" t="s">
        <v>40</v>
      </c>
      <c r="D20" s="9" t="s">
        <v>41</v>
      </c>
      <c r="E20" s="11" t="n">
        <f aca="false">COUNTIF(ENTRIES!$A$2:$A$2000,A20)</f>
        <v>3</v>
      </c>
      <c r="F20" s="12" t="n">
        <f aca="false">ROUND(SUMIFS(ENTRIES!$E$2:$E$2000,ENTRIES!$A$2:$A$2000,A20,ENTRIES!$G$2:$G$2000,"TRANSFER"),2)</f>
        <v>0</v>
      </c>
      <c r="G20" s="12" t="n">
        <f aca="false">SUMIFS(ENTRIES!$E$2:$E$2000,ENTRIES!$A$2:$A$2000,A20,ENTRIES!$G$2:$G$2000,"IN")</f>
        <v>0</v>
      </c>
      <c r="H20" s="12" t="n">
        <f aca="false">SUMPRODUCT((ENTRIES!$A$2:$A$2000=A20)*(LEFT(ENTRIES!$G$2:$G$2000,3)="OUT"),ENTRIES!$E$2:$E$2000)</f>
        <v>-6.77</v>
      </c>
    </row>
    <row r="21" customFormat="false" ht="23.85" hidden="false" customHeight="false" outlineLevel="0" collapsed="false">
      <c r="A21" s="8" t="s">
        <v>42</v>
      </c>
      <c r="B21" s="9" t="s">
        <v>33</v>
      </c>
      <c r="C21" s="10" t="s">
        <v>43</v>
      </c>
      <c r="D21" s="9" t="s">
        <v>44</v>
      </c>
      <c r="E21" s="11" t="n">
        <f aca="false">COUNTIF(ENTRIES!$A$2:$A$2000,A21)</f>
        <v>4</v>
      </c>
      <c r="F21" s="12" t="n">
        <f aca="false">ROUND(SUMIFS(ENTRIES!$E$2:$E$2000,ENTRIES!$A$2:$A$2000,A21,ENTRIES!$G$2:$G$2000,"TRANSFER"),2)</f>
        <v>0</v>
      </c>
      <c r="G21" s="12" t="n">
        <f aca="false">SUMIFS(ENTRIES!$E$2:$E$2000,ENTRIES!$A$2:$A$2000,A21,ENTRIES!$G$2:$G$2000,"IN")</f>
        <v>0</v>
      </c>
      <c r="H21" s="12" t="n">
        <f aca="false">SUMPRODUCT((ENTRIES!$A$2:$A$2000=A21)*(LEFT(ENTRIES!$G$2:$G$2000,3)="OUT"),ENTRIES!$E$2:$E$2000)</f>
        <v>0</v>
      </c>
    </row>
    <row r="22" customFormat="false" ht="23.85" hidden="false" customHeight="false" outlineLevel="0" collapsed="false">
      <c r="A22" s="8" t="s">
        <v>45</v>
      </c>
      <c r="B22" s="9" t="s">
        <v>33</v>
      </c>
      <c r="C22" s="10" t="s">
        <v>46</v>
      </c>
      <c r="D22" s="9" t="s">
        <v>47</v>
      </c>
      <c r="E22" s="11" t="n">
        <f aca="false">COUNTIF(ENTRIES!$A$2:$A$2000,A22)</f>
        <v>3</v>
      </c>
      <c r="F22" s="12" t="n">
        <f aca="false">ROUND(SUMIFS(ENTRIES!$E$2:$E$2000,ENTRIES!$A$2:$A$2000,A22,ENTRIES!$G$2:$G$2000,"TRANSFER"),2)</f>
        <v>0</v>
      </c>
      <c r="G22" s="12" t="n">
        <f aca="false">SUMIFS(ENTRIES!$E$2:$E$2000,ENTRIES!$A$2:$A$2000,A22,ENTRIES!$G$2:$G$2000,"IN")</f>
        <v>0</v>
      </c>
      <c r="H22" s="12" t="n">
        <f aca="false">SUMPRODUCT((ENTRIES!$A$2:$A$2000=A22)*(LEFT(ENTRIES!$G$2:$G$2000,3)="OUT"),ENTRIES!$E$2:$E$2000)</f>
        <v>-612.4</v>
      </c>
    </row>
    <row r="23" customFormat="false" ht="23.85" hidden="false" customHeight="false" outlineLevel="0" collapsed="false">
      <c r="A23" s="8" t="s">
        <v>48</v>
      </c>
      <c r="B23" s="9" t="s">
        <v>33</v>
      </c>
      <c r="C23" s="10" t="s">
        <v>49</v>
      </c>
      <c r="D23" s="9" t="s">
        <v>50</v>
      </c>
      <c r="E23" s="11" t="n">
        <f aca="false">COUNTIF(ENTRIES!$A$2:$A$2000,A23)</f>
        <v>4</v>
      </c>
      <c r="F23" s="12" t="n">
        <f aca="false">ROUND(SUMIFS(ENTRIES!$E$2:$E$2000,ENTRIES!$A$2:$A$2000,A23,ENTRIES!$G$2:$G$2000,"TRANSFER"),2)</f>
        <v>0</v>
      </c>
      <c r="G23" s="12" t="n">
        <f aca="false">SUMIFS(ENTRIES!$E$2:$E$2000,ENTRIES!$A$2:$A$2000,A23,ENTRIES!$G$2:$G$2000,"IN")</f>
        <v>0</v>
      </c>
      <c r="H23" s="12" t="n">
        <f aca="false">SUMPRODUCT((ENTRIES!$A$2:$A$2000=A23)*(LEFT(ENTRIES!$G$2:$G$2000,3)="OUT"),ENTRIES!$E$2:$E$2000)</f>
        <v>-126.45</v>
      </c>
    </row>
    <row r="24" customFormat="false" ht="23.85" hidden="false" customHeight="false" outlineLevel="0" collapsed="false">
      <c r="A24" s="8" t="s">
        <v>51</v>
      </c>
      <c r="B24" s="9" t="s">
        <v>33</v>
      </c>
      <c r="C24" s="10" t="s">
        <v>52</v>
      </c>
      <c r="D24" s="9" t="s">
        <v>53</v>
      </c>
      <c r="E24" s="11" t="n">
        <f aca="false">COUNTIF(ENTRIES!$A$2:$A$2000,A24)</f>
        <v>3</v>
      </c>
      <c r="F24" s="12" t="n">
        <f aca="false">ROUND(SUMIFS(ENTRIES!$E$2:$E$2000,ENTRIES!$A$2:$A$2000,A24,ENTRIES!$G$2:$G$2000,"TRANSFER"),2)</f>
        <v>0</v>
      </c>
      <c r="G24" s="12" t="n">
        <f aca="false">SUMIFS(ENTRIES!$E$2:$E$2000,ENTRIES!$A$2:$A$2000,A24,ENTRIES!$G$2:$G$2000,"IN")</f>
        <v>0</v>
      </c>
      <c r="H24" s="12" t="n">
        <f aca="false">SUMPRODUCT((ENTRIES!$A$2:$A$2000=A24)*(LEFT(ENTRIES!$G$2:$G$2000,3)="OUT"),ENTRIES!$E$2:$E$2000)</f>
        <v>-0.5</v>
      </c>
    </row>
    <row r="25" customFormat="false" ht="23.85" hidden="false" customHeight="false" outlineLevel="0" collapsed="false">
      <c r="A25" s="8" t="s">
        <v>54</v>
      </c>
      <c r="B25" s="9" t="s">
        <v>33</v>
      </c>
      <c r="C25" s="10" t="s">
        <v>55</v>
      </c>
      <c r="D25" s="9" t="s">
        <v>56</v>
      </c>
      <c r="E25" s="11" t="n">
        <f aca="false">COUNTIF(ENTRIES!$A$2:$A$2000,A25)</f>
        <v>2</v>
      </c>
      <c r="F25" s="12" t="n">
        <f aca="false">ROUND(SUMIFS(ENTRIES!$E$2:$E$2000,ENTRIES!$A$2:$A$2000,A25,ENTRIES!$G$2:$G$2000,"TRANSFER"),2)</f>
        <v>0</v>
      </c>
      <c r="G25" s="12" t="n">
        <f aca="false">SUMIFS(ENTRIES!$E$2:$E$2000,ENTRIES!$A$2:$A$2000,A25,ENTRIES!$G$2:$G$2000,"IN")</f>
        <v>0</v>
      </c>
      <c r="H25" s="12" t="n">
        <f aca="false">SUMPRODUCT((ENTRIES!$A$2:$A$2000=A25)*(LEFT(ENTRIES!$G$2:$G$2000,3)="OUT"),ENTRIES!$E$2:$E$2000)</f>
        <v>0</v>
      </c>
    </row>
    <row r="26" customFormat="false" ht="23.85" hidden="false" customHeight="false" outlineLevel="0" collapsed="false">
      <c r="A26" s="8" t="s">
        <v>57</v>
      </c>
      <c r="B26" s="9" t="s">
        <v>33</v>
      </c>
      <c r="C26" s="10" t="s">
        <v>58</v>
      </c>
      <c r="D26" s="9" t="s">
        <v>59</v>
      </c>
      <c r="E26" s="11" t="n">
        <f aca="false">COUNTIF(ENTRIES!$A$2:$A$2000,A26)</f>
        <v>2</v>
      </c>
      <c r="F26" s="12" t="n">
        <f aca="false">ROUND(SUMIFS(ENTRIES!$E$2:$E$2000,ENTRIES!$A$2:$A$2000,A26,ENTRIES!$G$2:$G$2000,"TRANSFER"),2)</f>
        <v>0</v>
      </c>
      <c r="G26" s="12" t="n">
        <f aca="false">SUMIFS(ENTRIES!$E$2:$E$2000,ENTRIES!$A$2:$A$2000,A26,ENTRIES!$G$2:$G$2000,"IN")</f>
        <v>0</v>
      </c>
      <c r="H26" s="12" t="n">
        <f aca="false">SUMPRODUCT((ENTRIES!$A$2:$A$2000=A26)*(LEFT(ENTRIES!$G$2:$G$2000,3)="OUT"),ENTRIES!$E$2:$E$2000)</f>
        <v>0</v>
      </c>
    </row>
    <row r="27" customFormat="false" ht="23.85" hidden="false" customHeight="false" outlineLevel="0" collapsed="false">
      <c r="A27" s="8" t="s">
        <v>60</v>
      </c>
      <c r="B27" s="9" t="s">
        <v>33</v>
      </c>
      <c r="C27" s="10" t="s">
        <v>61</v>
      </c>
      <c r="D27" s="9" t="s">
        <v>62</v>
      </c>
      <c r="E27" s="11" t="n">
        <f aca="false">COUNTIF(ENTRIES!$A$2:$A$2000,A27)</f>
        <v>2</v>
      </c>
      <c r="F27" s="12" t="n">
        <f aca="false">ROUND(SUMIFS(ENTRIES!$E$2:$E$2000,ENTRIES!$A$2:$A$2000,A27,ENTRIES!$G$2:$G$2000,"TRANSFER"),2)</f>
        <v>0</v>
      </c>
      <c r="G27" s="12" t="n">
        <f aca="false">SUMIFS(ENTRIES!$E$2:$E$2000,ENTRIES!$A$2:$A$2000,A27,ENTRIES!$G$2:$G$2000,"IN")</f>
        <v>0</v>
      </c>
      <c r="H27" s="12" t="n">
        <f aca="false">SUMPRODUCT((ENTRIES!$A$2:$A$2000=A27)*(LEFT(ENTRIES!$G$2:$G$2000,3)="OUT"),ENTRIES!$E$2:$E$2000)</f>
        <v>0</v>
      </c>
    </row>
    <row r="28" customFormat="false" ht="23.85" hidden="false" customHeight="false" outlineLevel="0" collapsed="false">
      <c r="A28" s="8" t="s">
        <v>63</v>
      </c>
      <c r="B28" s="9" t="s">
        <v>64</v>
      </c>
      <c r="C28" s="10" t="s">
        <v>65</v>
      </c>
      <c r="D28" s="9" t="s">
        <v>66</v>
      </c>
      <c r="E28" s="11" t="n">
        <f aca="false">COUNTIF(ENTRIES!$A$2:$A$2000,A28)</f>
        <v>4</v>
      </c>
      <c r="F28" s="12" t="n">
        <f aca="false">ROUND(SUMIFS(ENTRIES!$E$2:$E$2000,ENTRIES!$A$2:$A$2000,A28,ENTRIES!$G$2:$G$2000,"TRANSFER"),2)</f>
        <v>0</v>
      </c>
      <c r="G28" s="12" t="n">
        <f aca="false">SUMIFS(ENTRIES!$E$2:$E$2000,ENTRIES!$A$2:$A$2000,A28,ENTRIES!$G$2:$G$2000,"IN")</f>
        <v>0</v>
      </c>
      <c r="H28" s="12" t="n">
        <f aca="false">SUMPRODUCT((ENTRIES!$A$2:$A$2000=A28)*(LEFT(ENTRIES!$G$2:$G$2000,3)="OUT"),ENTRIES!$E$2:$E$2000)</f>
        <v>0</v>
      </c>
    </row>
    <row r="29" customFormat="false" ht="23.85" hidden="false" customHeight="false" outlineLevel="0" collapsed="false">
      <c r="A29" s="8" t="s">
        <v>67</v>
      </c>
      <c r="B29" s="9" t="s">
        <v>64</v>
      </c>
      <c r="C29" s="10" t="s">
        <v>68</v>
      </c>
      <c r="D29" s="9" t="s">
        <v>69</v>
      </c>
      <c r="E29" s="11" t="n">
        <f aca="false">COUNTIF(ENTRIES!$A$2:$A$2000,A29)</f>
        <v>6</v>
      </c>
      <c r="F29" s="12" t="n">
        <f aca="false">ROUND(SUMIFS(ENTRIES!$E$2:$E$2000,ENTRIES!$A$2:$A$2000,A29,ENTRIES!$G$2:$G$2000,"TRANSFER"),2)</f>
        <v>0</v>
      </c>
      <c r="G29" s="12" t="n">
        <f aca="false">SUMIFS(ENTRIES!$E$2:$E$2000,ENTRIES!$A$2:$A$2000,A29,ENTRIES!$G$2:$G$2000,"IN")</f>
        <v>0</v>
      </c>
      <c r="H29" s="12" t="n">
        <f aca="false">SUMPRODUCT((ENTRIES!$A$2:$A$2000=A29)*(LEFT(ENTRIES!$G$2:$G$2000,3)="OUT"),ENTRIES!$E$2:$E$2000)</f>
        <v>0</v>
      </c>
    </row>
    <row r="30" customFormat="false" ht="23.85" hidden="false" customHeight="false" outlineLevel="0" collapsed="false">
      <c r="A30" s="8" t="s">
        <v>70</v>
      </c>
      <c r="B30" s="9" t="s">
        <v>64</v>
      </c>
      <c r="C30" s="10" t="s">
        <v>71</v>
      </c>
      <c r="D30" s="9" t="s">
        <v>72</v>
      </c>
      <c r="E30" s="11" t="n">
        <f aca="false">COUNTIF(ENTRIES!$A$2:$A$2000,A30)</f>
        <v>9</v>
      </c>
      <c r="F30" s="12" t="n">
        <f aca="false">ROUND(SUMIFS(ENTRIES!$E$2:$E$2000,ENTRIES!$A$2:$A$2000,A30,ENTRIES!$G$2:$G$2000,"TRANSFER"),2)</f>
        <v>0</v>
      </c>
      <c r="G30" s="12" t="n">
        <f aca="false">SUMIFS(ENTRIES!$E$2:$E$2000,ENTRIES!$A$2:$A$2000,A30,ENTRIES!$G$2:$G$2000,"IN")</f>
        <v>0</v>
      </c>
      <c r="H30" s="12" t="n">
        <f aca="false">SUMPRODUCT((ENTRIES!$A$2:$A$2000=A30)*(LEFT(ENTRIES!$G$2:$G$2000,3)="OUT"),ENTRIES!$E$2:$E$2000)</f>
        <v>-30</v>
      </c>
    </row>
    <row r="31" customFormat="false" ht="23.85" hidden="false" customHeight="false" outlineLevel="0" collapsed="false">
      <c r="A31" s="8" t="s">
        <v>73</v>
      </c>
      <c r="B31" s="9" t="s">
        <v>64</v>
      </c>
      <c r="C31" s="10" t="s">
        <v>74</v>
      </c>
      <c r="D31" s="9" t="s">
        <v>75</v>
      </c>
      <c r="E31" s="11" t="n">
        <f aca="false">COUNTIF(ENTRIES!$A$2:$A$2000,A31)</f>
        <v>3</v>
      </c>
      <c r="F31" s="12" t="n">
        <f aca="false">ROUND(SUMIFS(ENTRIES!$E$2:$E$2000,ENTRIES!$A$2:$A$2000,A31,ENTRIES!$G$2:$G$2000,"TRANSFER"),2)</f>
        <v>0</v>
      </c>
      <c r="G31" s="12" t="n">
        <f aca="false">SUMIFS(ENTRIES!$E$2:$E$2000,ENTRIES!$A$2:$A$2000,A31,ENTRIES!$G$2:$G$2000,"IN")</f>
        <v>0</v>
      </c>
      <c r="H31" s="12" t="n">
        <f aca="false">SUMPRODUCT((ENTRIES!$A$2:$A$2000=A31)*(LEFT(ENTRIES!$G$2:$G$2000,3)="OUT"),ENTRIES!$E$2:$E$2000)</f>
        <v>-180</v>
      </c>
    </row>
    <row r="32" customFormat="false" ht="23.85" hidden="false" customHeight="false" outlineLevel="0" collapsed="false">
      <c r="A32" s="8" t="s">
        <v>76</v>
      </c>
      <c r="B32" s="9" t="s">
        <v>64</v>
      </c>
      <c r="C32" s="10" t="s">
        <v>77</v>
      </c>
      <c r="D32" s="9" t="s">
        <v>78</v>
      </c>
      <c r="E32" s="11" t="n">
        <f aca="false">COUNTIF(ENTRIES!$A$2:$A$2000,A32)</f>
        <v>7</v>
      </c>
      <c r="F32" s="12" t="n">
        <f aca="false">ROUND(SUMIFS(ENTRIES!$E$2:$E$2000,ENTRIES!$A$2:$A$2000,A32,ENTRIES!$G$2:$G$2000,"TRANSFER"),2)</f>
        <v>0</v>
      </c>
      <c r="G32" s="12" t="n">
        <f aca="false">SUMIFS(ENTRIES!$E$2:$E$2000,ENTRIES!$A$2:$A$2000,A32,ENTRIES!$G$2:$G$2000,"IN")</f>
        <v>0</v>
      </c>
      <c r="H32" s="12" t="n">
        <f aca="false">SUMPRODUCT((ENTRIES!$A$2:$A$2000=A32)*(LEFT(ENTRIES!$G$2:$G$2000,3)="OUT"),ENTRIES!$E$2:$E$2000)</f>
        <v>-220</v>
      </c>
    </row>
    <row r="33" customFormat="false" ht="23.85" hidden="false" customHeight="false" outlineLevel="0" collapsed="false">
      <c r="A33" s="8" t="s">
        <v>79</v>
      </c>
      <c r="B33" s="9" t="s">
        <v>64</v>
      </c>
      <c r="C33" s="10" t="s">
        <v>80</v>
      </c>
      <c r="D33" s="9" t="s">
        <v>81</v>
      </c>
      <c r="E33" s="11" t="n">
        <f aca="false">COUNTIF(ENTRIES!$A$2:$A$2000,A33)</f>
        <v>4</v>
      </c>
      <c r="F33" s="12" t="n">
        <f aca="false">ROUND(SUMIFS(ENTRIES!$E$2:$E$2000,ENTRIES!$A$2:$A$2000,A33,ENTRIES!$G$2:$G$2000,"TRANSFER"),2)</f>
        <v>0</v>
      </c>
      <c r="G33" s="12" t="n">
        <f aca="false">SUMIFS(ENTRIES!$E$2:$E$2000,ENTRIES!$A$2:$A$2000,A33,ENTRIES!$G$2:$G$2000,"IN")</f>
        <v>0</v>
      </c>
      <c r="H33" s="12" t="n">
        <f aca="false">SUMPRODUCT((ENTRIES!$A$2:$A$2000=A33)*(LEFT(ENTRIES!$G$2:$G$2000,3)="OUT"),ENTRIES!$E$2:$E$2000)</f>
        <v>0</v>
      </c>
    </row>
    <row r="34" customFormat="false" ht="23.85" hidden="false" customHeight="false" outlineLevel="0" collapsed="false">
      <c r="A34" s="8" t="s">
        <v>82</v>
      </c>
      <c r="B34" s="9" t="s">
        <v>83</v>
      </c>
      <c r="C34" s="10" t="s">
        <v>84</v>
      </c>
      <c r="D34" s="9" t="s">
        <v>85</v>
      </c>
      <c r="E34" s="11" t="n">
        <f aca="false">COUNTIF(ENTRIES!$A$2:$A$2000,A34)</f>
        <v>4</v>
      </c>
      <c r="F34" s="12" t="n">
        <f aca="false">ROUND(SUMIFS(ENTRIES!$E$2:$E$2000,ENTRIES!$A$2:$A$2000,A34,ENTRIES!$G$2:$G$2000,"TRANSFER"),2)</f>
        <v>0</v>
      </c>
      <c r="G34" s="12" t="n">
        <f aca="false">SUMIFS(ENTRIES!$E$2:$E$2000,ENTRIES!$A$2:$A$2000,A34,ENTRIES!$G$2:$G$2000,"IN")</f>
        <v>0</v>
      </c>
      <c r="H34" s="12" t="n">
        <f aca="false">SUMPRODUCT((ENTRIES!$A$2:$A$2000=A34)*(LEFT(ENTRIES!$G$2:$G$2000,3)="OUT"),ENTRIES!$E$2:$E$2000)</f>
        <v>0</v>
      </c>
    </row>
    <row r="35" customFormat="false" ht="23.85" hidden="false" customHeight="false" outlineLevel="0" collapsed="false">
      <c r="A35" s="8" t="s">
        <v>86</v>
      </c>
      <c r="B35" s="9" t="s">
        <v>83</v>
      </c>
      <c r="C35" s="10" t="s">
        <v>87</v>
      </c>
      <c r="D35" s="9" t="s">
        <v>88</v>
      </c>
      <c r="E35" s="11" t="n">
        <f aca="false">COUNTIF(ENTRIES!$A$2:$A$2000,A35)</f>
        <v>3</v>
      </c>
      <c r="F35" s="12" t="n">
        <f aca="false">ROUND(SUMIFS(ENTRIES!$E$2:$E$2000,ENTRIES!$A$2:$A$2000,A35,ENTRIES!$G$2:$G$2000,"TRANSFER"),2)</f>
        <v>0</v>
      </c>
      <c r="G35" s="12" t="n">
        <f aca="false">SUMIFS(ENTRIES!$E$2:$E$2000,ENTRIES!$A$2:$A$2000,A35,ENTRIES!$G$2:$G$2000,"IN")</f>
        <v>1450</v>
      </c>
      <c r="H35" s="12" t="n">
        <f aca="false">SUMPRODUCT((ENTRIES!$A$2:$A$2000=A35)*(LEFT(ENTRIES!$G$2:$G$2000,3)="OUT"),ENTRIES!$E$2:$E$2000)</f>
        <v>0</v>
      </c>
    </row>
    <row r="36" customFormat="false" ht="23.85" hidden="false" customHeight="false" outlineLevel="0" collapsed="false">
      <c r="A36" s="8" t="s">
        <v>89</v>
      </c>
      <c r="B36" s="9" t="s">
        <v>83</v>
      </c>
      <c r="C36" s="10" t="s">
        <v>90</v>
      </c>
      <c r="D36" s="9" t="s">
        <v>91</v>
      </c>
      <c r="E36" s="11" t="n">
        <f aca="false">COUNTIF(ENTRIES!$A$2:$A$2000,A36)</f>
        <v>3</v>
      </c>
      <c r="F36" s="12" t="n">
        <f aca="false">ROUND(SUMIFS(ENTRIES!$E$2:$E$2000,ENTRIES!$A$2:$A$2000,A36,ENTRIES!$G$2:$G$2000,"TRANSFER"),2)</f>
        <v>0</v>
      </c>
      <c r="G36" s="12" t="n">
        <f aca="false">SUMIFS(ENTRIES!$E$2:$E$2000,ENTRIES!$A$2:$A$2000,A36,ENTRIES!$G$2:$G$2000,"IN")</f>
        <v>0</v>
      </c>
      <c r="H36" s="12" t="n">
        <f aca="false">SUMPRODUCT((ENTRIES!$A$2:$A$2000=A36)*(LEFT(ENTRIES!$G$2:$G$2000,3)="OUT"),ENTRIES!$E$2:$E$2000)</f>
        <v>-18.5</v>
      </c>
    </row>
    <row r="37" customFormat="false" ht="23.85" hidden="false" customHeight="false" outlineLevel="0" collapsed="false">
      <c r="A37" s="8" t="s">
        <v>92</v>
      </c>
      <c r="B37" s="9" t="s">
        <v>83</v>
      </c>
      <c r="C37" s="10" t="s">
        <v>93</v>
      </c>
      <c r="D37" s="9" t="s">
        <v>94</v>
      </c>
      <c r="E37" s="11" t="n">
        <f aca="false">COUNTIF(ENTRIES!$A$2:$A$2000,A37)</f>
        <v>6</v>
      </c>
      <c r="F37" s="12" t="n">
        <f aca="false">ROUND(SUMIFS(ENTRIES!$E$2:$E$2000,ENTRIES!$A$2:$A$2000,A37,ENTRIES!$G$2:$G$2000,"TRANSFER"),2)</f>
        <v>0</v>
      </c>
      <c r="G37" s="12" t="n">
        <f aca="false">SUMIFS(ENTRIES!$E$2:$E$2000,ENTRIES!$A$2:$A$2000,A37,ENTRIES!$G$2:$G$2000,"IN")</f>
        <v>0</v>
      </c>
      <c r="H37" s="12" t="n">
        <f aca="false">SUMPRODUCT((ENTRIES!$A$2:$A$2000=A37)*(LEFT(ENTRIES!$G$2:$G$2000,3)="OUT"),ENTRIES!$E$2:$E$2000)</f>
        <v>0</v>
      </c>
    </row>
    <row r="38" customFormat="false" ht="23.85" hidden="false" customHeight="false" outlineLevel="0" collapsed="false">
      <c r="A38" s="8" t="s">
        <v>95</v>
      </c>
      <c r="B38" s="9" t="s">
        <v>83</v>
      </c>
      <c r="C38" s="10" t="s">
        <v>96</v>
      </c>
      <c r="D38" s="9" t="s">
        <v>97</v>
      </c>
      <c r="E38" s="11" t="n">
        <f aca="false">COUNTIF(ENTRIES!$A$2:$A$2000,A38)</f>
        <v>5</v>
      </c>
      <c r="F38" s="12" t="n">
        <f aca="false">ROUND(SUMIFS(ENTRIES!$E$2:$E$2000,ENTRIES!$A$2:$A$2000,A38,ENTRIES!$G$2:$G$2000,"TRANSFER"),2)</f>
        <v>0</v>
      </c>
      <c r="G38" s="12" t="n">
        <f aca="false">SUMIFS(ENTRIES!$E$2:$E$2000,ENTRIES!$A$2:$A$2000,A38,ENTRIES!$G$2:$G$2000,"IN")</f>
        <v>0</v>
      </c>
      <c r="H38" s="12" t="n">
        <f aca="false">SUMPRODUCT((ENTRIES!$A$2:$A$2000=A38)*(LEFT(ENTRIES!$G$2:$G$2000,3)="OUT"),ENTRIES!$E$2:$E$2000)</f>
        <v>-50</v>
      </c>
    </row>
    <row r="39" customFormat="false" ht="23.85" hidden="false" customHeight="false" outlineLevel="0" collapsed="false">
      <c r="A39" s="8" t="s">
        <v>98</v>
      </c>
      <c r="B39" s="9" t="s">
        <v>83</v>
      </c>
      <c r="C39" s="10" t="s">
        <v>99</v>
      </c>
      <c r="D39" s="9" t="s">
        <v>100</v>
      </c>
      <c r="E39" s="11" t="n">
        <f aca="false">COUNTIF(ENTRIES!$A$2:$A$2000,A39)</f>
        <v>5</v>
      </c>
      <c r="F39" s="12" t="n">
        <f aca="false">ROUND(SUMIFS(ENTRIES!$E$2:$E$2000,ENTRIES!$A$2:$A$2000,A39,ENTRIES!$G$2:$G$2000,"TRANSFER"),2)</f>
        <v>0</v>
      </c>
      <c r="G39" s="12" t="n">
        <f aca="false">SUMIFS(ENTRIES!$E$2:$E$2000,ENTRIES!$A$2:$A$2000,A39,ENTRIES!$G$2:$G$2000,"IN")</f>
        <v>0</v>
      </c>
      <c r="H39" s="12" t="n">
        <f aca="false">SUMPRODUCT((ENTRIES!$A$2:$A$2000=A39)*(LEFT(ENTRIES!$G$2:$G$2000,3)="OUT"),ENTRIES!$E$2:$E$2000)</f>
        <v>-20</v>
      </c>
    </row>
    <row r="40" customFormat="false" ht="35.05" hidden="false" customHeight="false" outlineLevel="0" collapsed="false">
      <c r="A40" s="8" t="s">
        <v>101</v>
      </c>
      <c r="B40" s="9" t="s">
        <v>83</v>
      </c>
      <c r="C40" s="10" t="s">
        <v>102</v>
      </c>
      <c r="D40" s="9" t="s">
        <v>103</v>
      </c>
      <c r="E40" s="11" t="n">
        <f aca="false">COUNTIF(ENTRIES!$A$2:$A$2000,A40)</f>
        <v>4</v>
      </c>
      <c r="F40" s="12" t="n">
        <f aca="false">ROUND(SUMIFS(ENTRIES!$E$2:$E$2000,ENTRIES!$A$2:$A$2000,A40,ENTRIES!$G$2:$G$2000,"TRANSFER"),2)</f>
        <v>0</v>
      </c>
      <c r="G40" s="12" t="n">
        <f aca="false">SUMIFS(ENTRIES!$E$2:$E$2000,ENTRIES!$A$2:$A$2000,A40,ENTRIES!$G$2:$G$2000,"IN")</f>
        <v>0</v>
      </c>
      <c r="H40" s="12" t="n">
        <f aca="false">SUMPRODUCT((ENTRIES!$A$2:$A$2000=A40)*(LEFT(ENTRIES!$G$2:$G$2000,3)="OUT"),ENTRIES!$E$2:$E$2000)</f>
        <v>-26.13</v>
      </c>
    </row>
    <row r="41" customFormat="false" ht="23.85" hidden="false" customHeight="false" outlineLevel="0" collapsed="false">
      <c r="A41" s="8" t="s">
        <v>104</v>
      </c>
      <c r="B41" s="9" t="s">
        <v>105</v>
      </c>
      <c r="C41" s="10" t="s">
        <v>106</v>
      </c>
      <c r="D41" s="9" t="s">
        <v>107</v>
      </c>
      <c r="E41" s="11" t="n">
        <f aca="false">COUNTIF(ENTRIES!$A$2:$A$2000,A41)</f>
        <v>4</v>
      </c>
      <c r="F41" s="12" t="n">
        <f aca="false">ROUND(SUMIFS(ENTRIES!$E$2:$E$2000,ENTRIES!$A$2:$A$2000,A41,ENTRIES!$G$2:$G$2000,"TRANSFER"),2)</f>
        <v>0</v>
      </c>
      <c r="G41" s="12" t="n">
        <f aca="false">SUMIFS(ENTRIES!$E$2:$E$2000,ENTRIES!$A$2:$A$2000,A41,ENTRIES!$G$2:$G$2000,"IN")</f>
        <v>0</v>
      </c>
      <c r="H41" s="12" t="n">
        <f aca="false">SUMPRODUCT((ENTRIES!$A$2:$A$2000=A41)*(LEFT(ENTRIES!$G$2:$G$2000,3)="OUT"),ENTRIES!$E$2:$E$2000)</f>
        <v>0</v>
      </c>
    </row>
    <row r="42" customFormat="false" ht="23.85" hidden="false" customHeight="false" outlineLevel="0" collapsed="false">
      <c r="A42" s="8" t="s">
        <v>108</v>
      </c>
      <c r="B42" s="9" t="s">
        <v>105</v>
      </c>
      <c r="C42" s="10" t="s">
        <v>109</v>
      </c>
      <c r="D42" s="9" t="s">
        <v>110</v>
      </c>
      <c r="E42" s="11" t="n">
        <f aca="false">COUNTIF(ENTRIES!$A$2:$A$2000,A42)</f>
        <v>2</v>
      </c>
      <c r="F42" s="12" t="n">
        <f aca="false">ROUND(SUMIFS(ENTRIES!$E$2:$E$2000,ENTRIES!$A$2:$A$2000,A42,ENTRIES!$G$2:$G$2000,"TRANSFER"),2)</f>
        <v>0</v>
      </c>
      <c r="G42" s="12" t="n">
        <f aca="false">SUMIFS(ENTRIES!$E$2:$E$2000,ENTRIES!$A$2:$A$2000,A42,ENTRIES!$G$2:$G$2000,"IN")</f>
        <v>0</v>
      </c>
      <c r="H42" s="12" t="n">
        <f aca="false">SUMPRODUCT((ENTRIES!$A$2:$A$2000=A42)*(LEFT(ENTRIES!$G$2:$G$2000,3)="OUT"),ENTRIES!$E$2:$E$2000)</f>
        <v>0</v>
      </c>
    </row>
    <row r="43" customFormat="false" ht="23.85" hidden="false" customHeight="false" outlineLevel="0" collapsed="false">
      <c r="A43" s="8" t="s">
        <v>111</v>
      </c>
      <c r="B43" s="9" t="s">
        <v>105</v>
      </c>
      <c r="C43" s="10" t="s">
        <v>112</v>
      </c>
      <c r="D43" s="9" t="s">
        <v>113</v>
      </c>
      <c r="E43" s="11" t="n">
        <f aca="false">COUNTIF(ENTRIES!$A$2:$A$2000,A43)</f>
        <v>2</v>
      </c>
      <c r="F43" s="12" t="n">
        <f aca="false">ROUND(SUMIFS(ENTRIES!$E$2:$E$2000,ENTRIES!$A$2:$A$2000,A43,ENTRIES!$G$2:$G$2000,"TRANSFER"),2)</f>
        <v>0</v>
      </c>
      <c r="G43" s="12" t="n">
        <f aca="false">SUMIFS(ENTRIES!$E$2:$E$2000,ENTRIES!$A$2:$A$2000,A43,ENTRIES!$G$2:$G$2000,"IN")</f>
        <v>0</v>
      </c>
      <c r="H43" s="12" t="n">
        <f aca="false">SUMPRODUCT((ENTRIES!$A$2:$A$2000=A43)*(LEFT(ENTRIES!$G$2:$G$2000,3)="OUT"),ENTRIES!$E$2:$E$2000)</f>
        <v>-32</v>
      </c>
    </row>
    <row r="44" customFormat="false" ht="23.85" hidden="false" customHeight="false" outlineLevel="0" collapsed="false">
      <c r="A44" s="8" t="s">
        <v>114</v>
      </c>
      <c r="B44" s="9" t="s">
        <v>105</v>
      </c>
      <c r="C44" s="10" t="s">
        <v>115</v>
      </c>
      <c r="D44" s="9" t="s">
        <v>116</v>
      </c>
      <c r="E44" s="11" t="n">
        <f aca="false">COUNTIF(ENTRIES!$A$2:$A$2000,A44)</f>
        <v>2</v>
      </c>
      <c r="F44" s="12" t="n">
        <f aca="false">ROUND(SUMIFS(ENTRIES!$E$2:$E$2000,ENTRIES!$A$2:$A$2000,A44,ENTRIES!$G$2:$G$2000,"TRANSFER"),2)</f>
        <v>0</v>
      </c>
      <c r="G44" s="12" t="n">
        <f aca="false">SUMIFS(ENTRIES!$E$2:$E$2000,ENTRIES!$A$2:$A$2000,A44,ENTRIES!$G$2:$G$2000,"IN")</f>
        <v>0</v>
      </c>
      <c r="H44" s="12" t="n">
        <f aca="false">SUMPRODUCT((ENTRIES!$A$2:$A$2000=A44)*(LEFT(ENTRIES!$G$2:$G$2000,3)="OUT"),ENTRIES!$E$2:$E$2000)</f>
        <v>0</v>
      </c>
    </row>
    <row r="45" customFormat="false" ht="23.85" hidden="false" customHeight="false" outlineLevel="0" collapsed="false">
      <c r="A45" s="8" t="s">
        <v>117</v>
      </c>
      <c r="B45" s="9" t="s">
        <v>105</v>
      </c>
      <c r="C45" s="10" t="s">
        <v>118</v>
      </c>
      <c r="D45" s="9" t="s">
        <v>119</v>
      </c>
      <c r="E45" s="11" t="n">
        <f aca="false">COUNTIF(ENTRIES!$A$2:$A$2000,A45)</f>
        <v>3</v>
      </c>
      <c r="F45" s="12" t="n">
        <f aca="false">ROUND(SUMIFS(ENTRIES!$E$2:$E$2000,ENTRIES!$A$2:$A$2000,A45,ENTRIES!$G$2:$G$2000,"TRANSFER"),2)</f>
        <v>0</v>
      </c>
      <c r="G45" s="12" t="n">
        <f aca="false">SUMIFS(ENTRIES!$E$2:$E$2000,ENTRIES!$A$2:$A$2000,A45,ENTRIES!$G$2:$G$2000,"IN")</f>
        <v>0</v>
      </c>
      <c r="H45" s="12" t="n">
        <f aca="false">SUMPRODUCT((ENTRIES!$A$2:$A$2000=A45)*(LEFT(ENTRIES!$G$2:$G$2000,3)="OUT"),ENTRIES!$E$2:$E$2000)</f>
        <v>12.34</v>
      </c>
    </row>
    <row r="46" customFormat="false" ht="23.85" hidden="false" customHeight="false" outlineLevel="0" collapsed="false">
      <c r="A46" s="8" t="s">
        <v>120</v>
      </c>
      <c r="B46" s="9" t="s">
        <v>105</v>
      </c>
      <c r="C46" s="10" t="s">
        <v>121</v>
      </c>
      <c r="D46" s="9" t="s">
        <v>122</v>
      </c>
      <c r="E46" s="11" t="n">
        <f aca="false">COUNTIF(ENTRIES!$A$2:$A$2000,A46)</f>
        <v>1</v>
      </c>
      <c r="F46" s="12" t="n">
        <f aca="false">ROUND(SUMIFS(ENTRIES!$E$2:$E$2000,ENTRIES!$A$2:$A$2000,A46,ENTRIES!$G$2:$G$2000,"TRANSFER"),2)</f>
        <v>0</v>
      </c>
      <c r="G46" s="12" t="n">
        <f aca="false">SUMIFS(ENTRIES!$E$2:$E$2000,ENTRIES!$A$2:$A$2000,A46,ENTRIES!$G$2:$G$2000,"IN")</f>
        <v>0</v>
      </c>
      <c r="H46" s="12" t="n">
        <f aca="false">SUMPRODUCT((ENTRIES!$A$2:$A$2000=A46)*(LEFT(ENTRIES!$G$2:$G$2000,3)="OUT"),ENTRIES!$E$2:$E$2000)</f>
        <v>-0.38</v>
      </c>
    </row>
    <row r="47" customFormat="false" ht="15" hidden="false" customHeight="false" outlineLevel="0" collapsed="false">
      <c r="A47" s="8" t="s">
        <v>123</v>
      </c>
      <c r="B47" s="9" t="s">
        <v>124</v>
      </c>
      <c r="C47" s="10" t="s">
        <v>125</v>
      </c>
      <c r="D47" s="9" t="s">
        <v>126</v>
      </c>
      <c r="E47" s="11" t="n">
        <f aca="false">COUNTIF(ENTRIES!$A$2:$A$2000,A47)</f>
        <v>1</v>
      </c>
      <c r="F47" s="12" t="n">
        <f aca="false">ROUND(SUMIFS(ENTRIES!$E$2:$E$2000,ENTRIES!$A$2:$A$2000,A47,ENTRIES!$G$2:$G$2000,"TRANSFER"),2)</f>
        <v>0</v>
      </c>
      <c r="G47" s="12" t="n">
        <f aca="false">SUMIFS(ENTRIES!$E$2:$E$2000,ENTRIES!$A$2:$A$2000,A47,ENTRIES!$G$2:$G$2000,"IN")</f>
        <v>0</v>
      </c>
      <c r="H47" s="12" t="n">
        <f aca="false">SUMPRODUCT((ENTRIES!$A$2:$A$2000=A47)*(LEFT(ENTRIES!$G$2:$G$2000,3)="OUT"),ENTRIES!$E$2:$E$2000)</f>
        <v>-0.33</v>
      </c>
    </row>
    <row r="48" customFormat="false" ht="23.85" hidden="false" customHeight="false" outlineLevel="0" collapsed="false">
      <c r="A48" s="8" t="s">
        <v>127</v>
      </c>
      <c r="B48" s="9" t="s">
        <v>124</v>
      </c>
      <c r="C48" s="10" t="s">
        <v>128</v>
      </c>
      <c r="D48" s="9" t="s">
        <v>129</v>
      </c>
      <c r="E48" s="11" t="n">
        <f aca="false">COUNTIF(ENTRIES!$A$2:$A$2000,A48)</f>
        <v>4</v>
      </c>
      <c r="F48" s="12" t="n">
        <f aca="false">ROUND(SUMIFS(ENTRIES!$E$2:$E$2000,ENTRIES!$A$2:$A$2000,A48,ENTRIES!$G$2:$G$2000,"TRANSFER"),2)</f>
        <v>0</v>
      </c>
      <c r="G48" s="12" t="n">
        <f aca="false">SUMIFS(ENTRIES!$E$2:$E$2000,ENTRIES!$A$2:$A$2000,A48,ENTRIES!$G$2:$G$2000,"IN")</f>
        <v>0</v>
      </c>
      <c r="H48" s="12" t="n">
        <f aca="false">SUMPRODUCT((ENTRIES!$A$2:$A$2000=A48)*(LEFT(ENTRIES!$G$2:$G$2000,3)="OUT"),ENTRIES!$E$2:$E$2000)</f>
        <v>-220</v>
      </c>
    </row>
    <row r="49" customFormat="false" ht="15" hidden="false" customHeight="false" outlineLevel="0" collapsed="false">
      <c r="A49" s="8" t="s">
        <v>130</v>
      </c>
      <c r="B49" s="9" t="s">
        <v>124</v>
      </c>
      <c r="C49" s="10" t="s">
        <v>131</v>
      </c>
      <c r="D49" s="9" t="s">
        <v>132</v>
      </c>
      <c r="E49" s="11" t="n">
        <f aca="false">COUNTIF(ENTRIES!$A$2:$A$2000,A49)</f>
        <v>1</v>
      </c>
      <c r="F49" s="12" t="n">
        <f aca="false">ROUND(SUMIFS(ENTRIES!$E$2:$E$2000,ENTRIES!$A$2:$A$2000,A49,ENTRIES!$G$2:$G$2000,"TRANSFER"),2)</f>
        <v>0</v>
      </c>
      <c r="G49" s="12" t="n">
        <f aca="false">SUMIFS(ENTRIES!$E$2:$E$2000,ENTRIES!$A$2:$A$2000,A49,ENTRIES!$G$2:$G$2000,"IN")</f>
        <v>0</v>
      </c>
      <c r="H49" s="12" t="n">
        <f aca="false">SUMPRODUCT((ENTRIES!$A$2:$A$2000=A49)*(LEFT(ENTRIES!$G$2:$G$2000,3)="OUT"),ENTRIES!$E$2:$E$2000)</f>
        <v>0</v>
      </c>
    </row>
    <row r="50" customFormat="false" ht="23.85" hidden="false" customHeight="false" outlineLevel="0" collapsed="false">
      <c r="A50" s="8" t="s">
        <v>133</v>
      </c>
      <c r="B50" s="9" t="s">
        <v>124</v>
      </c>
      <c r="C50" s="10" t="s">
        <v>134</v>
      </c>
      <c r="D50" s="9" t="s">
        <v>135</v>
      </c>
      <c r="E50" s="11" t="n">
        <f aca="false">COUNTIF(ENTRIES!$A$2:$A$2000,A50)</f>
        <v>3</v>
      </c>
      <c r="F50" s="12" t="n">
        <f aca="false">ROUND(SUMIFS(ENTRIES!$E$2:$E$2000,ENTRIES!$A$2:$A$2000,A50,ENTRIES!$G$2:$G$2000,"TRANSFER"),2)</f>
        <v>0</v>
      </c>
      <c r="G50" s="12" t="n">
        <f aca="false">SUMIFS(ENTRIES!$E$2:$E$2000,ENTRIES!$A$2:$A$2000,A50,ENTRIES!$G$2:$G$2000,"IN")</f>
        <v>0</v>
      </c>
      <c r="H50" s="12" t="n">
        <f aca="false">SUMPRODUCT((ENTRIES!$A$2:$A$2000=A50)*(LEFT(ENTRIES!$G$2:$G$2000,3)="OUT"),ENTRIES!$E$2:$E$2000)</f>
        <v>0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13" t="s">
        <v>136</v>
      </c>
      <c r="B52" s="2"/>
      <c r="C52" s="2"/>
      <c r="D52" s="2"/>
      <c r="E52" s="2"/>
      <c r="F52" s="2"/>
      <c r="G52" s="2"/>
      <c r="H5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48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2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5" min="12" style="0" width="9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16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  <c r="G1" s="7" t="s">
        <v>142</v>
      </c>
      <c r="H1" s="7" t="s">
        <v>143</v>
      </c>
      <c r="I1" s="7" t="s">
        <v>144</v>
      </c>
      <c r="J1" s="7" t="s">
        <v>145</v>
      </c>
      <c r="K1" s="7" t="s">
        <v>146</v>
      </c>
      <c r="L1" s="7" t="s">
        <v>147</v>
      </c>
      <c r="M1" s="7" t="s">
        <v>148</v>
      </c>
      <c r="N1" s="7" t="s">
        <v>149</v>
      </c>
      <c r="O1" s="7" t="s">
        <v>150</v>
      </c>
      <c r="P1" s="7" t="s">
        <v>151</v>
      </c>
    </row>
    <row r="2" customFormat="false" ht="15" hidden="false" customHeight="false" outlineLevel="0" collapsed="false">
      <c r="A2" s="5" t="s">
        <v>24</v>
      </c>
      <c r="B2" s="5" t="n">
        <v>100</v>
      </c>
      <c r="C2" s="5" t="s">
        <v>152</v>
      </c>
      <c r="D2" s="14" t="n">
        <v>45961</v>
      </c>
      <c r="E2" s="15" t="n">
        <v>6600</v>
      </c>
      <c r="F2" s="5" t="s">
        <v>153</v>
      </c>
      <c r="G2" s="5" t="s">
        <v>154</v>
      </c>
      <c r="H2" s="5" t="s">
        <v>154</v>
      </c>
      <c r="I2" s="5" t="s">
        <v>155</v>
      </c>
      <c r="J2" s="5"/>
      <c r="K2" s="16"/>
      <c r="L2" s="5"/>
      <c r="M2" s="17"/>
      <c r="N2" s="3" t="str">
        <f aca="false">IF(OR(K2="",M2=""),"",IF(C2="STATS_ONLY","stats",IF(ROUND(K2/M2,2)=E2,"OK","CHECK")))</f>
        <v/>
      </c>
      <c r="O2" s="3" t="str">
        <f aca="false">TEXT(D2,"yyyy-mm")</f>
        <v>2025-10</v>
      </c>
      <c r="P2" s="13" t="s">
        <v>156</v>
      </c>
    </row>
    <row r="3" customFormat="false" ht="15" hidden="false" customHeight="false" outlineLevel="0" collapsed="false">
      <c r="A3" s="5" t="s">
        <v>24</v>
      </c>
      <c r="B3" s="5" t="n">
        <v>100</v>
      </c>
      <c r="C3" s="5" t="s">
        <v>157</v>
      </c>
      <c r="D3" s="14" t="n">
        <v>45961</v>
      </c>
      <c r="E3" s="15" t="n">
        <v>8000</v>
      </c>
      <c r="F3" s="5" t="s">
        <v>153</v>
      </c>
      <c r="G3" s="5" t="s">
        <v>154</v>
      </c>
      <c r="H3" s="5" t="s">
        <v>154</v>
      </c>
      <c r="I3" s="5" t="s">
        <v>155</v>
      </c>
      <c r="J3" s="5"/>
      <c r="K3" s="16"/>
      <c r="L3" s="5"/>
      <c r="M3" s="17"/>
      <c r="N3" s="3" t="str">
        <f aca="false">IF(OR(K3="",M3=""),"",IF(C3="STATS_ONLY","stats",IF(ROUND(K3/M3,2)=E3,"OK","CHECK")))</f>
        <v/>
      </c>
      <c r="O3" s="3" t="str">
        <f aca="false">TEXT(D3,"yyyy-mm")</f>
        <v>2025-10</v>
      </c>
      <c r="P3" s="13" t="s">
        <v>156</v>
      </c>
    </row>
    <row r="4" customFormat="false" ht="15" hidden="false" customHeight="false" outlineLevel="0" collapsed="false">
      <c r="A4" s="5" t="s">
        <v>24</v>
      </c>
      <c r="B4" s="5" t="n">
        <v>100</v>
      </c>
      <c r="C4" s="5" t="s">
        <v>158</v>
      </c>
      <c r="D4" s="14" t="n">
        <v>45961</v>
      </c>
      <c r="E4" s="15" t="n">
        <v>2400</v>
      </c>
      <c r="F4" s="5" t="s">
        <v>153</v>
      </c>
      <c r="G4" s="5" t="s">
        <v>154</v>
      </c>
      <c r="H4" s="5" t="s">
        <v>154</v>
      </c>
      <c r="I4" s="5" t="s">
        <v>155</v>
      </c>
      <c r="J4" s="5"/>
      <c r="K4" s="16"/>
      <c r="L4" s="5"/>
      <c r="M4" s="17"/>
      <c r="N4" s="3" t="str">
        <f aca="false">IF(OR(K4="",M4=""),"",IF(C4="STATS_ONLY","stats",IF(ROUND(K4/M4,2)=E4,"OK","CHECK")))</f>
        <v/>
      </c>
      <c r="O4" s="3" t="str">
        <f aca="false">TEXT(D4,"yyyy-mm")</f>
        <v>2025-10</v>
      </c>
      <c r="P4" s="13" t="s">
        <v>156</v>
      </c>
    </row>
    <row r="5" customFormat="false" ht="15" hidden="false" customHeight="false" outlineLevel="0" collapsed="false">
      <c r="A5" s="5" t="s">
        <v>24</v>
      </c>
      <c r="B5" s="5" t="n">
        <v>100</v>
      </c>
      <c r="C5" s="5" t="s">
        <v>159</v>
      </c>
      <c r="D5" s="14" t="n">
        <v>45961</v>
      </c>
      <c r="E5" s="15" t="n">
        <v>150</v>
      </c>
      <c r="F5" s="5" t="s">
        <v>153</v>
      </c>
      <c r="G5" s="5" t="s">
        <v>154</v>
      </c>
      <c r="H5" s="5" t="s">
        <v>154</v>
      </c>
      <c r="I5" s="5" t="s">
        <v>155</v>
      </c>
      <c r="J5" s="5"/>
      <c r="K5" s="16"/>
      <c r="L5" s="5"/>
      <c r="M5" s="17"/>
      <c r="N5" s="3" t="str">
        <f aca="false">IF(OR(K5="",M5=""),"",IF(C5="STATS_ONLY","stats",IF(ROUND(K5/M5,2)=E5,"OK","CHECK")))</f>
        <v/>
      </c>
      <c r="O5" s="3" t="str">
        <f aca="false">TEXT(D5,"yyyy-mm")</f>
        <v>2025-10</v>
      </c>
      <c r="P5" s="13" t="s">
        <v>156</v>
      </c>
    </row>
    <row r="6" customFormat="false" ht="15" hidden="false" customHeight="false" outlineLevel="0" collapsed="false">
      <c r="A6" s="5" t="s">
        <v>24</v>
      </c>
      <c r="B6" s="5" t="n">
        <v>100</v>
      </c>
      <c r="C6" s="5" t="s">
        <v>160</v>
      </c>
      <c r="D6" s="14" t="n">
        <v>45961</v>
      </c>
      <c r="E6" s="15" t="n">
        <v>51.24</v>
      </c>
      <c r="F6" s="5" t="s">
        <v>153</v>
      </c>
      <c r="G6" s="5" t="s">
        <v>154</v>
      </c>
      <c r="H6" s="5" t="s">
        <v>154</v>
      </c>
      <c r="I6" s="5" t="s">
        <v>155</v>
      </c>
      <c r="J6" s="5"/>
      <c r="K6" s="16" t="n">
        <v>60</v>
      </c>
      <c r="L6" s="5" t="s">
        <v>161</v>
      </c>
      <c r="M6" s="17" t="n">
        <v>1.17096018735363</v>
      </c>
      <c r="N6" s="3" t="str">
        <f aca="false">IF(OR(K6="",M6=""),"",IF(C6="STATS_ONLY","stats",IF(ROUND(K6/M6,2)=E6,"OK","CHECK")))</f>
        <v>OK</v>
      </c>
      <c r="O6" s="3" t="str">
        <f aca="false">TEXT(D6,"yyyy-mm")</f>
        <v>2025-10</v>
      </c>
      <c r="P6" s="13" t="s">
        <v>156</v>
      </c>
    </row>
    <row r="7" customFormat="false" ht="15" hidden="false" customHeight="false" outlineLevel="0" collapsed="false">
      <c r="A7" s="5" t="s">
        <v>28</v>
      </c>
      <c r="B7" s="5" t="n">
        <v>9589</v>
      </c>
      <c r="C7" s="5" t="s">
        <v>152</v>
      </c>
      <c r="D7" s="14" t="n">
        <v>45962</v>
      </c>
      <c r="E7" s="15" t="n">
        <v>-15</v>
      </c>
      <c r="F7" s="5" t="s">
        <v>162</v>
      </c>
      <c r="G7" s="5" t="s">
        <v>163</v>
      </c>
      <c r="H7" s="5" t="s">
        <v>164</v>
      </c>
      <c r="I7" s="5" t="s">
        <v>165</v>
      </c>
      <c r="J7" s="5"/>
      <c r="K7" s="16"/>
      <c r="L7" s="5"/>
      <c r="M7" s="17"/>
      <c r="N7" s="3" t="str">
        <f aca="false">IF(OR(K7="",M7=""),"",IF(C7="STATS_ONLY","stats",IF(ROUND(K7/M7,2)=E7,"OK","CHECK")))</f>
        <v/>
      </c>
      <c r="O7" s="3" t="str">
        <f aca="false">TEXT(D7,"yyyy-mm")</f>
        <v>2025-11</v>
      </c>
      <c r="P7" s="13"/>
    </row>
    <row r="8" customFormat="false" ht="15" hidden="false" customHeight="false" outlineLevel="0" collapsed="false">
      <c r="A8" s="5" t="s">
        <v>28</v>
      </c>
      <c r="B8" s="5" t="n">
        <v>9590</v>
      </c>
      <c r="C8" s="5" t="s">
        <v>152</v>
      </c>
      <c r="D8" s="14" t="n">
        <v>45962</v>
      </c>
      <c r="E8" s="15" t="n">
        <v>-100</v>
      </c>
      <c r="F8" s="5" t="s">
        <v>166</v>
      </c>
      <c r="G8" s="5" t="s">
        <v>167</v>
      </c>
      <c r="H8" s="5" t="s">
        <v>167</v>
      </c>
      <c r="I8" s="5" t="s">
        <v>168</v>
      </c>
      <c r="J8" s="5"/>
      <c r="K8" s="16"/>
      <c r="L8" s="5"/>
      <c r="M8" s="17"/>
      <c r="N8" s="3" t="str">
        <f aca="false">IF(OR(K8="",M8=""),"",IF(C8="STATS_ONLY","stats",IF(ROUND(K8/M8,2)=E8,"OK","CHECK")))</f>
        <v/>
      </c>
      <c r="O8" s="3" t="str">
        <f aca="false">TEXT(D8,"yyyy-mm")</f>
        <v>2025-11</v>
      </c>
      <c r="P8" s="13" t="s">
        <v>169</v>
      </c>
    </row>
    <row r="9" customFormat="false" ht="15" hidden="false" customHeight="false" outlineLevel="0" collapsed="false">
      <c r="A9" s="5" t="s">
        <v>28</v>
      </c>
      <c r="B9" s="5" t="n">
        <v>9590</v>
      </c>
      <c r="C9" s="5" t="s">
        <v>158</v>
      </c>
      <c r="D9" s="14" t="n">
        <v>45962</v>
      </c>
      <c r="E9" s="15" t="n">
        <v>100</v>
      </c>
      <c r="F9" s="5" t="s">
        <v>166</v>
      </c>
      <c r="G9" s="5" t="s">
        <v>167</v>
      </c>
      <c r="H9" s="5" t="s">
        <v>167</v>
      </c>
      <c r="I9" s="5" t="s">
        <v>168</v>
      </c>
      <c r="J9" s="5"/>
      <c r="K9" s="16"/>
      <c r="L9" s="5"/>
      <c r="M9" s="17"/>
      <c r="N9" s="3" t="str">
        <f aca="false">IF(OR(K9="",M9=""),"",IF(C9="STATS_ONLY","stats",IF(ROUND(K9/M9,2)=E9,"OK","CHECK")))</f>
        <v/>
      </c>
      <c r="O9" s="3" t="str">
        <f aca="false">TEXT(D9,"yyyy-mm")</f>
        <v>2025-11</v>
      </c>
      <c r="P9" s="13" t="s">
        <v>170</v>
      </c>
    </row>
    <row r="10" customFormat="false" ht="15" hidden="false" customHeight="false" outlineLevel="0" collapsed="false">
      <c r="A10" s="5" t="s">
        <v>28</v>
      </c>
      <c r="B10" s="5" t="n">
        <v>9659</v>
      </c>
      <c r="C10" s="5" t="s">
        <v>171</v>
      </c>
      <c r="D10" s="14" t="n">
        <v>45963</v>
      </c>
      <c r="E10" s="15" t="n">
        <v>-142</v>
      </c>
      <c r="F10" s="5" t="s">
        <v>172</v>
      </c>
      <c r="G10" s="5" t="s">
        <v>173</v>
      </c>
      <c r="H10" s="5" t="s">
        <v>174</v>
      </c>
      <c r="I10" s="5" t="s">
        <v>175</v>
      </c>
      <c r="J10" s="5"/>
      <c r="K10" s="16"/>
      <c r="L10" s="5"/>
      <c r="M10" s="17"/>
      <c r="N10" s="3" t="str">
        <f aca="false">IF(OR(K10="",M10=""),"",IF(C10="STATS_ONLY","stats",IF(ROUND(K10/M10,2)=E10,"OK","CHECK")))</f>
        <v/>
      </c>
      <c r="O10" s="3" t="str">
        <f aca="false">TEXT(D10,"yyyy-mm")</f>
        <v>2025-11</v>
      </c>
      <c r="P10" s="13"/>
    </row>
    <row r="11" customFormat="false" ht="15" hidden="false" customHeight="false" outlineLevel="0" collapsed="false">
      <c r="A11" s="5" t="s">
        <v>28</v>
      </c>
      <c r="B11" s="5" t="n">
        <v>9009</v>
      </c>
      <c r="C11" s="5" t="s">
        <v>176</v>
      </c>
      <c r="D11" s="14" t="n">
        <v>45965</v>
      </c>
      <c r="E11" s="15" t="n">
        <v>-51.24</v>
      </c>
      <c r="F11" s="5" t="s">
        <v>177</v>
      </c>
      <c r="G11" s="5" t="s">
        <v>178</v>
      </c>
      <c r="H11" s="5" t="s">
        <v>179</v>
      </c>
      <c r="I11" s="5" t="s">
        <v>180</v>
      </c>
      <c r="J11" s="5" t="s">
        <v>181</v>
      </c>
      <c r="K11" s="16" t="n">
        <v>-220</v>
      </c>
      <c r="L11" s="5" t="s">
        <v>182</v>
      </c>
      <c r="M11" s="17" t="n">
        <v>4.29352068696331</v>
      </c>
      <c r="N11" s="3" t="str">
        <f aca="false">IF(OR(K11="",M11=""),"",IF(C11="STATS_ONLY","stats",IF(ROUND(K11/M11,2)=E11,"OK","CHECK")))</f>
        <v>OK</v>
      </c>
      <c r="O11" s="3" t="str">
        <f aca="false">TEXT(D11,"yyyy-mm")</f>
        <v>2025-11</v>
      </c>
      <c r="P11" s="13"/>
    </row>
    <row r="12" customFormat="false" ht="15" hidden="false" customHeight="false" outlineLevel="0" collapsed="false">
      <c r="A12" s="5" t="s">
        <v>28</v>
      </c>
      <c r="B12" s="5" t="n">
        <v>9657</v>
      </c>
      <c r="C12" s="5" t="s">
        <v>152</v>
      </c>
      <c r="D12" s="14" t="n">
        <v>45965</v>
      </c>
      <c r="E12" s="15" t="n">
        <v>-18.9</v>
      </c>
      <c r="F12" s="5" t="s">
        <v>183</v>
      </c>
      <c r="G12" s="5" t="s">
        <v>184</v>
      </c>
      <c r="H12" s="5" t="s">
        <v>185</v>
      </c>
      <c r="I12" s="5" t="s">
        <v>186</v>
      </c>
      <c r="J12" s="5"/>
      <c r="K12" s="16"/>
      <c r="L12" s="5"/>
      <c r="M12" s="17"/>
      <c r="N12" s="3" t="str">
        <f aca="false">IF(OR(K12="",M12=""),"",IF(C12="STATS_ONLY","stats",IF(ROUND(K12/M12,2)=E12,"OK","CHECK")))</f>
        <v/>
      </c>
      <c r="O12" s="3" t="str">
        <f aca="false">TEXT(D12,"yyyy-mm")</f>
        <v>2025-11</v>
      </c>
      <c r="P12" s="13"/>
    </row>
    <row r="13" customFormat="false" ht="15" hidden="false" customHeight="false" outlineLevel="0" collapsed="false">
      <c r="A13" s="5" t="s">
        <v>28</v>
      </c>
      <c r="B13" s="5" t="n">
        <v>9101</v>
      </c>
      <c r="C13" s="5" t="s">
        <v>187</v>
      </c>
      <c r="D13" s="14" t="n">
        <v>45966</v>
      </c>
      <c r="E13" s="15" t="n">
        <v>-176.1</v>
      </c>
      <c r="F13" s="5" t="s">
        <v>188</v>
      </c>
      <c r="G13" s="5" t="s">
        <v>178</v>
      </c>
      <c r="H13" s="5" t="s">
        <v>189</v>
      </c>
      <c r="I13" s="5" t="s">
        <v>190</v>
      </c>
      <c r="J13" s="5" t="s">
        <v>191</v>
      </c>
      <c r="K13" s="16" t="n">
        <v>-6500</v>
      </c>
      <c r="L13" s="5" t="s">
        <v>192</v>
      </c>
      <c r="M13" s="17" t="n">
        <v>36.9103348937703</v>
      </c>
      <c r="N13" s="3" t="str">
        <f aca="false">IF(OR(K13="",M13=""),"",IF(C13="STATS_ONLY","stats",IF(ROUND(K13/M13,2)=E13,"OK","CHECK")))</f>
        <v>OK</v>
      </c>
      <c r="O13" s="3" t="str">
        <f aca="false">TEXT(D13,"yyyy-mm")</f>
        <v>2025-11</v>
      </c>
      <c r="P13" s="13"/>
    </row>
    <row r="14" customFormat="false" ht="15" hidden="false" customHeight="false" outlineLevel="0" collapsed="false">
      <c r="A14" s="5" t="s">
        <v>28</v>
      </c>
      <c r="B14" s="5" t="n">
        <v>9102</v>
      </c>
      <c r="C14" s="5" t="s">
        <v>187</v>
      </c>
      <c r="D14" s="14" t="n">
        <v>45966</v>
      </c>
      <c r="E14" s="15" t="n">
        <v>-2.71</v>
      </c>
      <c r="F14" s="5" t="s">
        <v>193</v>
      </c>
      <c r="G14" s="5" t="s">
        <v>178</v>
      </c>
      <c r="H14" s="5" t="s">
        <v>189</v>
      </c>
      <c r="I14" s="5" t="s">
        <v>194</v>
      </c>
      <c r="J14" s="5" t="s">
        <v>195</v>
      </c>
      <c r="K14" s="16" t="n">
        <v>-100</v>
      </c>
      <c r="L14" s="5" t="s">
        <v>192</v>
      </c>
      <c r="M14" s="17" t="n">
        <v>36.9103348937703</v>
      </c>
      <c r="N14" s="3" t="str">
        <f aca="false">IF(OR(K14="",M14=""),"",IF(C14="STATS_ONLY","stats",IF(ROUND(K14/M14,2)=E14,"OK","CHECK")))</f>
        <v>OK</v>
      </c>
      <c r="O14" s="3" t="str">
        <f aca="false">TEXT(D14,"yyyy-mm")</f>
        <v>2025-11</v>
      </c>
      <c r="P14" s="13"/>
    </row>
    <row r="15" customFormat="false" ht="15" hidden="false" customHeight="false" outlineLevel="0" collapsed="false">
      <c r="A15" s="5" t="s">
        <v>28</v>
      </c>
      <c r="B15" s="5" t="n">
        <v>9103</v>
      </c>
      <c r="C15" s="5" t="s">
        <v>187</v>
      </c>
      <c r="D15" s="14" t="n">
        <v>45966</v>
      </c>
      <c r="E15" s="15" t="n">
        <v>-2.84</v>
      </c>
      <c r="F15" s="5" t="s">
        <v>196</v>
      </c>
      <c r="G15" s="5" t="s">
        <v>178</v>
      </c>
      <c r="H15" s="5" t="s">
        <v>189</v>
      </c>
      <c r="I15" s="5" t="s">
        <v>194</v>
      </c>
      <c r="J15" s="5" t="s">
        <v>197</v>
      </c>
      <c r="K15" s="16" t="n">
        <v>-105</v>
      </c>
      <c r="L15" s="5" t="s">
        <v>192</v>
      </c>
      <c r="M15" s="17" t="n">
        <v>36.9103348937703</v>
      </c>
      <c r="N15" s="3" t="str">
        <f aca="false">IF(OR(K15="",M15=""),"",IF(C15="STATS_ONLY","stats",IF(ROUND(K15/M15,2)=E15,"OK","CHECK")))</f>
        <v>OK</v>
      </c>
      <c r="O15" s="3" t="str">
        <f aca="false">TEXT(D15,"yyyy-mm")</f>
        <v>2025-11</v>
      </c>
      <c r="P15" s="13"/>
    </row>
    <row r="16" customFormat="false" ht="15" hidden="false" customHeight="false" outlineLevel="0" collapsed="false">
      <c r="A16" s="5" t="s">
        <v>28</v>
      </c>
      <c r="B16" s="5" t="n">
        <v>9104</v>
      </c>
      <c r="C16" s="5" t="s">
        <v>187</v>
      </c>
      <c r="D16" s="14" t="n">
        <v>45966</v>
      </c>
      <c r="E16" s="15" t="n">
        <v>-1.63</v>
      </c>
      <c r="F16" s="5" t="s">
        <v>198</v>
      </c>
      <c r="G16" s="5" t="s">
        <v>178</v>
      </c>
      <c r="H16" s="5" t="s">
        <v>189</v>
      </c>
      <c r="I16" s="5" t="s">
        <v>194</v>
      </c>
      <c r="J16" s="5" t="s">
        <v>199</v>
      </c>
      <c r="K16" s="16" t="n">
        <v>-60</v>
      </c>
      <c r="L16" s="5" t="s">
        <v>192</v>
      </c>
      <c r="M16" s="17" t="n">
        <v>36.9103348937703</v>
      </c>
      <c r="N16" s="3" t="str">
        <f aca="false">IF(OR(K16="",M16=""),"",IF(C16="STATS_ONLY","stats",IF(ROUND(K16/M16,2)=E16,"OK","CHECK")))</f>
        <v>OK</v>
      </c>
      <c r="O16" s="3" t="str">
        <f aca="false">TEXT(D16,"yyyy-mm")</f>
        <v>2025-11</v>
      </c>
      <c r="P16" s="13"/>
    </row>
    <row r="17" customFormat="false" ht="15" hidden="false" customHeight="false" outlineLevel="0" collapsed="false">
      <c r="A17" s="5" t="s">
        <v>28</v>
      </c>
      <c r="B17" s="5" t="n">
        <v>9591</v>
      </c>
      <c r="C17" s="5" t="s">
        <v>152</v>
      </c>
      <c r="D17" s="14" t="n">
        <v>45966</v>
      </c>
      <c r="E17" s="15" t="n">
        <v>-45</v>
      </c>
      <c r="F17" s="5" t="s">
        <v>200</v>
      </c>
      <c r="G17" s="5" t="s">
        <v>163</v>
      </c>
      <c r="H17" s="5" t="s">
        <v>164</v>
      </c>
      <c r="I17" s="5" t="s">
        <v>201</v>
      </c>
      <c r="J17" s="5"/>
      <c r="K17" s="16"/>
      <c r="L17" s="5"/>
      <c r="M17" s="17"/>
      <c r="N17" s="3" t="str">
        <f aca="false">IF(OR(K17="",M17=""),"",IF(C17="STATS_ONLY","stats",IF(ROUND(K17/M17,2)=E17,"OK","CHECK")))</f>
        <v/>
      </c>
      <c r="O17" s="3" t="str">
        <f aca="false">TEXT(D17,"yyyy-mm")</f>
        <v>2025-11</v>
      </c>
      <c r="P17" s="13"/>
    </row>
    <row r="18" customFormat="false" ht="15" hidden="false" customHeight="false" outlineLevel="0" collapsed="false">
      <c r="A18" s="5" t="s">
        <v>28</v>
      </c>
      <c r="B18" s="5" t="n">
        <v>9105</v>
      </c>
      <c r="C18" s="5" t="s">
        <v>152</v>
      </c>
      <c r="D18" s="14" t="n">
        <v>45967</v>
      </c>
      <c r="E18" s="15" t="n">
        <v>-277.18</v>
      </c>
      <c r="F18" s="5" t="s">
        <v>202</v>
      </c>
      <c r="G18" s="5" t="s">
        <v>167</v>
      </c>
      <c r="H18" s="5" t="s">
        <v>167</v>
      </c>
      <c r="I18" s="5" t="s">
        <v>168</v>
      </c>
      <c r="J18" s="5"/>
      <c r="K18" s="16"/>
      <c r="L18" s="5"/>
      <c r="M18" s="17"/>
      <c r="N18" s="3" t="str">
        <f aca="false">IF(OR(K18="",M18=""),"",IF(C18="STATS_ONLY","stats",IF(ROUND(K18/M18,2)=E18,"OK","CHECK")))</f>
        <v/>
      </c>
      <c r="O18" s="3" t="str">
        <f aca="false">TEXT(D18,"yyyy-mm")</f>
        <v>2025-11</v>
      </c>
      <c r="P18" s="13" t="s">
        <v>169</v>
      </c>
    </row>
    <row r="19" customFormat="false" ht="15" hidden="false" customHeight="false" outlineLevel="0" collapsed="false">
      <c r="A19" s="5" t="s">
        <v>28</v>
      </c>
      <c r="B19" s="5" t="n">
        <v>9105</v>
      </c>
      <c r="C19" s="5" t="s">
        <v>187</v>
      </c>
      <c r="D19" s="14" t="n">
        <v>45967</v>
      </c>
      <c r="E19" s="15" t="n">
        <v>277.18</v>
      </c>
      <c r="F19" s="5" t="s">
        <v>202</v>
      </c>
      <c r="G19" s="5" t="s">
        <v>167</v>
      </c>
      <c r="H19" s="5" t="s">
        <v>167</v>
      </c>
      <c r="I19" s="5" t="s">
        <v>168</v>
      </c>
      <c r="J19" s="5" t="s">
        <v>203</v>
      </c>
      <c r="K19" s="16" t="n">
        <v>10250</v>
      </c>
      <c r="L19" s="5" t="s">
        <v>192</v>
      </c>
      <c r="M19" s="18" t="n">
        <f aca="false">K19/E19</f>
        <v>36.9795800562811</v>
      </c>
      <c r="N19" s="3" t="str">
        <f aca="false">IF(OR(K19="",M19=""),"",IF(C19="STATS_ONLY","stats",IF(ROUND(K19/M19,2)=E19,"OK","CHECK")))</f>
        <v>OK</v>
      </c>
      <c r="O19" s="3" t="str">
        <f aca="false">TEXT(D19,"yyyy-mm")</f>
        <v>2025-11</v>
      </c>
      <c r="P19" s="13" t="s">
        <v>170</v>
      </c>
    </row>
    <row r="20" customFormat="false" ht="15" hidden="false" customHeight="false" outlineLevel="0" collapsed="false">
      <c r="A20" s="5" t="s">
        <v>28</v>
      </c>
      <c r="B20" s="5" t="n">
        <v>9105</v>
      </c>
      <c r="C20" s="5" t="s">
        <v>187</v>
      </c>
      <c r="D20" s="14" t="n">
        <v>45967</v>
      </c>
      <c r="E20" s="15" t="n">
        <v>-6.76</v>
      </c>
      <c r="F20" s="5" t="s">
        <v>204</v>
      </c>
      <c r="G20" s="5" t="s">
        <v>178</v>
      </c>
      <c r="H20" s="5" t="s">
        <v>189</v>
      </c>
      <c r="I20" s="5" t="s">
        <v>205</v>
      </c>
      <c r="J20" s="5" t="s">
        <v>206</v>
      </c>
      <c r="K20" s="16" t="n">
        <v>-250</v>
      </c>
      <c r="L20" s="5" t="s">
        <v>192</v>
      </c>
      <c r="M20" s="17" t="n">
        <v>36.9795800562811</v>
      </c>
      <c r="N20" s="3" t="str">
        <f aca="false">IF(OR(K20="",M20=""),"",IF(C20="STATS_ONLY","stats",IF(ROUND(K20/M20,2)=E20,"OK","CHECK")))</f>
        <v>OK</v>
      </c>
      <c r="O20" s="3" t="str">
        <f aca="false">TEXT(D20,"yyyy-mm")</f>
        <v>2025-11</v>
      </c>
      <c r="P20" s="13" t="s">
        <v>207</v>
      </c>
    </row>
    <row r="21" customFormat="false" ht="15" hidden="false" customHeight="false" outlineLevel="0" collapsed="false">
      <c r="A21" s="5" t="s">
        <v>28</v>
      </c>
      <c r="B21" s="5" t="n">
        <v>9106</v>
      </c>
      <c r="C21" s="5" t="s">
        <v>187</v>
      </c>
      <c r="D21" s="14" t="n">
        <v>45967</v>
      </c>
      <c r="E21" s="15" t="n">
        <v>-2.16</v>
      </c>
      <c r="F21" s="5" t="s">
        <v>208</v>
      </c>
      <c r="G21" s="5" t="s">
        <v>178</v>
      </c>
      <c r="H21" s="5" t="s">
        <v>189</v>
      </c>
      <c r="I21" s="5" t="s">
        <v>194</v>
      </c>
      <c r="J21" s="5" t="s">
        <v>209</v>
      </c>
      <c r="K21" s="16" t="n">
        <v>-80</v>
      </c>
      <c r="L21" s="5" t="s">
        <v>192</v>
      </c>
      <c r="M21" s="17" t="n">
        <v>36.9795800562811</v>
      </c>
      <c r="N21" s="3" t="str">
        <f aca="false">IF(OR(K21="",M21=""),"",IF(C21="STATS_ONLY","stats",IF(ROUND(K21/M21,2)=E21,"OK","CHECK")))</f>
        <v>OK</v>
      </c>
      <c r="O21" s="3" t="str">
        <f aca="false">TEXT(D21,"yyyy-mm")</f>
        <v>2025-11</v>
      </c>
      <c r="P21" s="13"/>
    </row>
    <row r="22" customFormat="false" ht="15" hidden="false" customHeight="false" outlineLevel="0" collapsed="false">
      <c r="A22" s="5" t="s">
        <v>28</v>
      </c>
      <c r="B22" s="5" t="n">
        <v>9107</v>
      </c>
      <c r="C22" s="5" t="s">
        <v>187</v>
      </c>
      <c r="D22" s="14" t="n">
        <v>45967</v>
      </c>
      <c r="E22" s="15" t="n">
        <v>-4.46</v>
      </c>
      <c r="F22" s="5" t="s">
        <v>196</v>
      </c>
      <c r="G22" s="5" t="s">
        <v>178</v>
      </c>
      <c r="H22" s="5" t="s">
        <v>189</v>
      </c>
      <c r="I22" s="5" t="s">
        <v>194</v>
      </c>
      <c r="J22" s="5" t="s">
        <v>197</v>
      </c>
      <c r="K22" s="16" t="n">
        <v>-165</v>
      </c>
      <c r="L22" s="5" t="s">
        <v>192</v>
      </c>
      <c r="M22" s="17" t="n">
        <v>36.9795800562811</v>
      </c>
      <c r="N22" s="3" t="str">
        <f aca="false">IF(OR(K22="",M22=""),"",IF(C22="STATS_ONLY","stats",IF(ROUND(K22/M22,2)=E22,"OK","CHECK")))</f>
        <v>OK</v>
      </c>
      <c r="O22" s="3" t="str">
        <f aca="false">TEXT(D22,"yyyy-mm")</f>
        <v>2025-11</v>
      </c>
      <c r="P22" s="13"/>
    </row>
    <row r="23" customFormat="false" ht="15" hidden="false" customHeight="false" outlineLevel="0" collapsed="false">
      <c r="A23" s="5" t="s">
        <v>28</v>
      </c>
      <c r="B23" s="5" t="n">
        <v>9002</v>
      </c>
      <c r="C23" s="5" t="s">
        <v>187</v>
      </c>
      <c r="D23" s="14" t="n">
        <v>45968</v>
      </c>
      <c r="E23" s="15" t="n">
        <v>-2.71</v>
      </c>
      <c r="F23" s="5" t="s">
        <v>210</v>
      </c>
      <c r="G23" s="5" t="s">
        <v>178</v>
      </c>
      <c r="H23" s="5" t="s">
        <v>189</v>
      </c>
      <c r="I23" s="5" t="s">
        <v>194</v>
      </c>
      <c r="J23" s="5" t="s">
        <v>197</v>
      </c>
      <c r="K23" s="16" t="n">
        <v>-100</v>
      </c>
      <c r="L23" s="5" t="s">
        <v>192</v>
      </c>
      <c r="M23" s="17" t="n">
        <v>36.9103348937703</v>
      </c>
      <c r="N23" s="3" t="str">
        <f aca="false">IF(OR(K23="",M23=""),"",IF(C23="STATS_ONLY","stats",IF(ROUND(K23/M23,2)=E23,"OK","CHECK")))</f>
        <v>OK</v>
      </c>
      <c r="O23" s="3" t="str">
        <f aca="false">TEXT(D23,"yyyy-mm")</f>
        <v>2025-11</v>
      </c>
      <c r="P23" s="13"/>
    </row>
    <row r="24" customFormat="false" ht="15" hidden="false" customHeight="false" outlineLevel="0" collapsed="false">
      <c r="A24" s="5" t="s">
        <v>28</v>
      </c>
      <c r="B24" s="5" t="n">
        <v>9003</v>
      </c>
      <c r="C24" s="5" t="s">
        <v>187</v>
      </c>
      <c r="D24" s="14" t="n">
        <v>45968</v>
      </c>
      <c r="E24" s="15" t="n">
        <v>-1.63</v>
      </c>
      <c r="F24" s="5" t="s">
        <v>211</v>
      </c>
      <c r="G24" s="5" t="s">
        <v>178</v>
      </c>
      <c r="H24" s="5" t="s">
        <v>189</v>
      </c>
      <c r="I24" s="5" t="s">
        <v>194</v>
      </c>
      <c r="J24" s="5" t="s">
        <v>199</v>
      </c>
      <c r="K24" s="16" t="n">
        <v>-60</v>
      </c>
      <c r="L24" s="5" t="s">
        <v>192</v>
      </c>
      <c r="M24" s="17" t="n">
        <v>36.9103348937703</v>
      </c>
      <c r="N24" s="3" t="str">
        <f aca="false">IF(OR(K24="",M24=""),"",IF(C24="STATS_ONLY","stats",IF(ROUND(K24/M24,2)=E24,"OK","CHECK")))</f>
        <v>OK</v>
      </c>
      <c r="O24" s="3" t="str">
        <f aca="false">TEXT(D24,"yyyy-mm")</f>
        <v>2025-11</v>
      </c>
      <c r="P24" s="13"/>
    </row>
    <row r="25" customFormat="false" ht="15" hidden="false" customHeight="false" outlineLevel="0" collapsed="false">
      <c r="A25" s="5" t="s">
        <v>28</v>
      </c>
      <c r="B25" s="5" t="n">
        <v>9108</v>
      </c>
      <c r="C25" s="5" t="s">
        <v>187</v>
      </c>
      <c r="D25" s="14" t="n">
        <v>45968</v>
      </c>
      <c r="E25" s="15" t="n">
        <v>-1.35</v>
      </c>
      <c r="F25" s="5" t="s">
        <v>212</v>
      </c>
      <c r="G25" s="5" t="s">
        <v>178</v>
      </c>
      <c r="H25" s="5" t="s">
        <v>189</v>
      </c>
      <c r="I25" s="5" t="s">
        <v>194</v>
      </c>
      <c r="J25" s="5" t="s">
        <v>181</v>
      </c>
      <c r="K25" s="16" t="n">
        <v>-50</v>
      </c>
      <c r="L25" s="5" t="s">
        <v>192</v>
      </c>
      <c r="M25" s="17" t="n">
        <v>36.9795800562811</v>
      </c>
      <c r="N25" s="3" t="str">
        <f aca="false">IF(OR(K25="",M25=""),"",IF(C25="STATS_ONLY","stats",IF(ROUND(K25/M25,2)=E25,"OK","CHECK")))</f>
        <v>OK</v>
      </c>
      <c r="O25" s="3" t="str">
        <f aca="false">TEXT(D25,"yyyy-mm")</f>
        <v>2025-11</v>
      </c>
      <c r="P25" s="13"/>
    </row>
    <row r="26" customFormat="false" ht="15" hidden="false" customHeight="false" outlineLevel="0" collapsed="false">
      <c r="A26" s="5" t="s">
        <v>28</v>
      </c>
      <c r="B26" s="5" t="n">
        <v>9592</v>
      </c>
      <c r="C26" s="5" t="s">
        <v>213</v>
      </c>
      <c r="D26" s="14" t="n">
        <v>45968</v>
      </c>
      <c r="E26" s="15" t="n">
        <v>-21.78</v>
      </c>
      <c r="F26" s="5" t="s">
        <v>214</v>
      </c>
      <c r="G26" s="5" t="s">
        <v>163</v>
      </c>
      <c r="H26" s="5" t="s">
        <v>164</v>
      </c>
      <c r="I26" s="5" t="s">
        <v>215</v>
      </c>
      <c r="J26" s="5"/>
      <c r="K26" s="16"/>
      <c r="L26" s="5"/>
      <c r="M26" s="17"/>
      <c r="N26" s="3" t="str">
        <f aca="false">IF(OR(K26="",M26=""),"",IF(C26="STATS_ONLY","stats",IF(ROUND(K26/M26,2)=E26,"OK","CHECK")))</f>
        <v/>
      </c>
      <c r="O26" s="3" t="str">
        <f aca="false">TEXT(D26,"yyyy-mm")</f>
        <v>2025-11</v>
      </c>
      <c r="P26" s="13"/>
    </row>
    <row r="27" customFormat="false" ht="15" hidden="false" customHeight="false" outlineLevel="0" collapsed="false">
      <c r="A27" s="5" t="s">
        <v>28</v>
      </c>
      <c r="B27" s="5" t="n">
        <v>9109</v>
      </c>
      <c r="C27" s="5" t="s">
        <v>187</v>
      </c>
      <c r="D27" s="14" t="n">
        <v>45969</v>
      </c>
      <c r="E27" s="15" t="n">
        <v>-2.84</v>
      </c>
      <c r="F27" s="5" t="s">
        <v>216</v>
      </c>
      <c r="G27" s="5" t="s">
        <v>178</v>
      </c>
      <c r="H27" s="5" t="s">
        <v>189</v>
      </c>
      <c r="I27" s="5" t="s">
        <v>194</v>
      </c>
      <c r="J27" s="5" t="s">
        <v>195</v>
      </c>
      <c r="K27" s="16" t="n">
        <v>-105</v>
      </c>
      <c r="L27" s="5" t="s">
        <v>192</v>
      </c>
      <c r="M27" s="17" t="n">
        <v>36.9795800562811</v>
      </c>
      <c r="N27" s="3" t="str">
        <f aca="false">IF(OR(K27="",M27=""),"",IF(C27="STATS_ONLY","stats",IF(ROUND(K27/M27,2)=E27,"OK","CHECK")))</f>
        <v>OK</v>
      </c>
      <c r="O27" s="3" t="str">
        <f aca="false">TEXT(D27,"yyyy-mm")</f>
        <v>2025-11</v>
      </c>
      <c r="P27" s="13"/>
    </row>
    <row r="28" customFormat="false" ht="15" hidden="false" customHeight="false" outlineLevel="0" collapsed="false">
      <c r="A28" s="5" t="s">
        <v>28</v>
      </c>
      <c r="B28" s="5" t="n">
        <v>9110</v>
      </c>
      <c r="C28" s="5" t="s">
        <v>187</v>
      </c>
      <c r="D28" s="14" t="n">
        <v>45969</v>
      </c>
      <c r="E28" s="15" t="n">
        <v>-2.03</v>
      </c>
      <c r="F28" s="5" t="s">
        <v>217</v>
      </c>
      <c r="G28" s="5" t="s">
        <v>178</v>
      </c>
      <c r="H28" s="5" t="s">
        <v>189</v>
      </c>
      <c r="I28" s="5" t="s">
        <v>194</v>
      </c>
      <c r="J28" s="5" t="s">
        <v>209</v>
      </c>
      <c r="K28" s="16" t="n">
        <v>-75</v>
      </c>
      <c r="L28" s="5" t="s">
        <v>192</v>
      </c>
      <c r="M28" s="17" t="n">
        <v>36.9795800562811</v>
      </c>
      <c r="N28" s="3" t="str">
        <f aca="false">IF(OR(K28="",M28=""),"",IF(C28="STATS_ONLY","stats",IF(ROUND(K28/M28,2)=E28,"OK","CHECK")))</f>
        <v>OK</v>
      </c>
      <c r="O28" s="3" t="str">
        <f aca="false">TEXT(D28,"yyyy-mm")</f>
        <v>2025-11</v>
      </c>
      <c r="P28" s="13"/>
    </row>
    <row r="29" customFormat="false" ht="15" hidden="false" customHeight="false" outlineLevel="0" collapsed="false">
      <c r="A29" s="5" t="s">
        <v>28</v>
      </c>
      <c r="B29" s="5" t="n">
        <v>9111</v>
      </c>
      <c r="C29" s="5" t="s">
        <v>187</v>
      </c>
      <c r="D29" s="14" t="n">
        <v>45969</v>
      </c>
      <c r="E29" s="15" t="n">
        <v>-3.52</v>
      </c>
      <c r="F29" s="5" t="s">
        <v>196</v>
      </c>
      <c r="G29" s="5" t="s">
        <v>178</v>
      </c>
      <c r="H29" s="5" t="s">
        <v>189</v>
      </c>
      <c r="I29" s="5" t="s">
        <v>194</v>
      </c>
      <c r="J29" s="5" t="s">
        <v>197</v>
      </c>
      <c r="K29" s="16" t="n">
        <v>-130</v>
      </c>
      <c r="L29" s="5" t="s">
        <v>192</v>
      </c>
      <c r="M29" s="17" t="n">
        <v>36.9795800562811</v>
      </c>
      <c r="N29" s="3" t="str">
        <f aca="false">IF(OR(K29="",M29=""),"",IF(C29="STATS_ONLY","stats",IF(ROUND(K29/M29,2)=E29,"OK","CHECK")))</f>
        <v>OK</v>
      </c>
      <c r="O29" s="3" t="str">
        <f aca="false">TEXT(D29,"yyyy-mm")</f>
        <v>2025-11</v>
      </c>
      <c r="P29" s="13"/>
    </row>
    <row r="30" customFormat="false" ht="15" hidden="false" customHeight="false" outlineLevel="0" collapsed="false">
      <c r="A30" s="5" t="s">
        <v>28</v>
      </c>
      <c r="B30" s="5" t="n">
        <v>9112</v>
      </c>
      <c r="C30" s="5" t="s">
        <v>187</v>
      </c>
      <c r="D30" s="14" t="n">
        <v>45969</v>
      </c>
      <c r="E30" s="15" t="n">
        <v>-1.76</v>
      </c>
      <c r="F30" s="5" t="s">
        <v>218</v>
      </c>
      <c r="G30" s="5" t="s">
        <v>178</v>
      </c>
      <c r="H30" s="5" t="s">
        <v>189</v>
      </c>
      <c r="I30" s="5" t="s">
        <v>194</v>
      </c>
      <c r="J30" s="5" t="s">
        <v>199</v>
      </c>
      <c r="K30" s="16" t="n">
        <v>-65</v>
      </c>
      <c r="L30" s="5" t="s">
        <v>192</v>
      </c>
      <c r="M30" s="17" t="n">
        <v>36.9795800562811</v>
      </c>
      <c r="N30" s="3" t="str">
        <f aca="false">IF(OR(K30="",M30=""),"",IF(C30="STATS_ONLY","stats",IF(ROUND(K30/M30,2)=E30,"OK","CHECK")))</f>
        <v>OK</v>
      </c>
      <c r="O30" s="3" t="str">
        <f aca="false">TEXT(D30,"yyyy-mm")</f>
        <v>2025-11</v>
      </c>
      <c r="P30" s="13"/>
    </row>
    <row r="31" customFormat="false" ht="15" hidden="false" customHeight="false" outlineLevel="0" collapsed="false">
      <c r="A31" s="5" t="s">
        <v>28</v>
      </c>
      <c r="B31" s="5" t="n">
        <v>9593</v>
      </c>
      <c r="C31" s="5" t="s">
        <v>152</v>
      </c>
      <c r="D31" s="14" t="n">
        <v>45969</v>
      </c>
      <c r="E31" s="15" t="n">
        <v>-2.99</v>
      </c>
      <c r="F31" s="5" t="s">
        <v>219</v>
      </c>
      <c r="G31" s="5" t="s">
        <v>163</v>
      </c>
      <c r="H31" s="5" t="s">
        <v>164</v>
      </c>
      <c r="I31" s="5" t="s">
        <v>220</v>
      </c>
      <c r="J31" s="5"/>
      <c r="K31" s="16"/>
      <c r="L31" s="5"/>
      <c r="M31" s="17"/>
      <c r="N31" s="3" t="str">
        <f aca="false">IF(OR(K31="",M31=""),"",IF(C31="STATS_ONLY","stats",IF(ROUND(K31/M31,2)=E31,"OK","CHECK")))</f>
        <v/>
      </c>
      <c r="O31" s="3" t="str">
        <f aca="false">TEXT(D31,"yyyy-mm")</f>
        <v>2025-11</v>
      </c>
      <c r="P31" s="13"/>
    </row>
    <row r="32" customFormat="false" ht="15" hidden="false" customHeight="false" outlineLevel="0" collapsed="false">
      <c r="A32" s="5" t="s">
        <v>28</v>
      </c>
      <c r="B32" s="5" t="n">
        <v>9113</v>
      </c>
      <c r="C32" s="5" t="s">
        <v>187</v>
      </c>
      <c r="D32" s="14" t="n">
        <v>45971</v>
      </c>
      <c r="E32" s="15" t="n">
        <v>-3.52</v>
      </c>
      <c r="F32" s="5" t="s">
        <v>217</v>
      </c>
      <c r="G32" s="5" t="s">
        <v>178</v>
      </c>
      <c r="H32" s="5" t="s">
        <v>189</v>
      </c>
      <c r="I32" s="5" t="s">
        <v>194</v>
      </c>
      <c r="J32" s="5" t="s">
        <v>209</v>
      </c>
      <c r="K32" s="16" t="n">
        <v>-130</v>
      </c>
      <c r="L32" s="5" t="s">
        <v>192</v>
      </c>
      <c r="M32" s="17" t="n">
        <v>36.9795800562811</v>
      </c>
      <c r="N32" s="3" t="str">
        <f aca="false">IF(OR(K32="",M32=""),"",IF(C32="STATS_ONLY","stats",IF(ROUND(K32/M32,2)=E32,"OK","CHECK")))</f>
        <v>OK</v>
      </c>
      <c r="O32" s="3" t="str">
        <f aca="false">TEXT(D32,"yyyy-mm")</f>
        <v>2025-11</v>
      </c>
      <c r="P32" s="13"/>
    </row>
    <row r="33" customFormat="false" ht="15" hidden="false" customHeight="false" outlineLevel="0" collapsed="false">
      <c r="A33" s="5" t="s">
        <v>28</v>
      </c>
      <c r="B33" s="5" t="n">
        <v>9114</v>
      </c>
      <c r="C33" s="5" t="s">
        <v>187</v>
      </c>
      <c r="D33" s="14" t="n">
        <v>45971</v>
      </c>
      <c r="E33" s="15" t="n">
        <v>-1.49</v>
      </c>
      <c r="F33" s="5" t="s">
        <v>221</v>
      </c>
      <c r="G33" s="5" t="s">
        <v>178</v>
      </c>
      <c r="H33" s="5" t="s">
        <v>189</v>
      </c>
      <c r="I33" s="5" t="s">
        <v>194</v>
      </c>
      <c r="J33" s="5" t="s">
        <v>199</v>
      </c>
      <c r="K33" s="16" t="n">
        <v>-55</v>
      </c>
      <c r="L33" s="5" t="s">
        <v>192</v>
      </c>
      <c r="M33" s="17" t="n">
        <v>36.9795800562811</v>
      </c>
      <c r="N33" s="3" t="str">
        <f aca="false">IF(OR(K33="",M33=""),"",IF(C33="STATS_ONLY","stats",IF(ROUND(K33/M33,2)=E33,"OK","CHECK")))</f>
        <v>OK</v>
      </c>
      <c r="O33" s="3" t="str">
        <f aca="false">TEXT(D33,"yyyy-mm")</f>
        <v>2025-11</v>
      </c>
      <c r="P33" s="13"/>
    </row>
    <row r="34" customFormat="false" ht="15" hidden="false" customHeight="false" outlineLevel="0" collapsed="false">
      <c r="A34" s="5" t="s">
        <v>28</v>
      </c>
      <c r="B34" s="5" t="n">
        <v>9115</v>
      </c>
      <c r="C34" s="5" t="s">
        <v>187</v>
      </c>
      <c r="D34" s="14" t="n">
        <v>45971</v>
      </c>
      <c r="E34" s="15" t="n">
        <v>-0.54</v>
      </c>
      <c r="F34" s="5" t="s">
        <v>222</v>
      </c>
      <c r="G34" s="5" t="s">
        <v>178</v>
      </c>
      <c r="H34" s="5" t="s">
        <v>189</v>
      </c>
      <c r="I34" s="5" t="s">
        <v>194</v>
      </c>
      <c r="J34" s="5" t="s">
        <v>181</v>
      </c>
      <c r="K34" s="16" t="n">
        <v>-20</v>
      </c>
      <c r="L34" s="5" t="s">
        <v>192</v>
      </c>
      <c r="M34" s="17" t="n">
        <v>36.9795800562811</v>
      </c>
      <c r="N34" s="3" t="str">
        <f aca="false">IF(OR(K34="",M34=""),"",IF(C34="STATS_ONLY","stats",IF(ROUND(K34/M34,2)=E34,"OK","CHECK")))</f>
        <v>OK</v>
      </c>
      <c r="O34" s="3" t="str">
        <f aca="false">TEXT(D34,"yyyy-mm")</f>
        <v>2025-11</v>
      </c>
      <c r="P34" s="13"/>
    </row>
    <row r="35" customFormat="false" ht="15" hidden="false" customHeight="false" outlineLevel="0" collapsed="false">
      <c r="A35" s="5" t="s">
        <v>28</v>
      </c>
      <c r="B35" s="5" t="n">
        <v>9116</v>
      </c>
      <c r="C35" s="5" t="s">
        <v>187</v>
      </c>
      <c r="D35" s="14" t="n">
        <v>45972</v>
      </c>
      <c r="E35" s="15" t="n">
        <v>-2.3</v>
      </c>
      <c r="F35" s="5" t="s">
        <v>221</v>
      </c>
      <c r="G35" s="5" t="s">
        <v>178</v>
      </c>
      <c r="H35" s="5" t="s">
        <v>189</v>
      </c>
      <c r="I35" s="5" t="s">
        <v>194</v>
      </c>
      <c r="J35" s="5" t="s">
        <v>199</v>
      </c>
      <c r="K35" s="16" t="n">
        <v>-85</v>
      </c>
      <c r="L35" s="5" t="s">
        <v>192</v>
      </c>
      <c r="M35" s="17" t="n">
        <v>36.9795800562811</v>
      </c>
      <c r="N35" s="3" t="str">
        <f aca="false">IF(OR(K35="",M35=""),"",IF(C35="STATS_ONLY","stats",IF(ROUND(K35/M35,2)=E35,"OK","CHECK")))</f>
        <v>OK</v>
      </c>
      <c r="O35" s="3" t="str">
        <f aca="false">TEXT(D35,"yyyy-mm")</f>
        <v>2025-11</v>
      </c>
      <c r="P35" s="13"/>
    </row>
    <row r="36" customFormat="false" ht="15" hidden="false" customHeight="false" outlineLevel="0" collapsed="false">
      <c r="A36" s="5" t="s">
        <v>28</v>
      </c>
      <c r="B36" s="5" t="n">
        <v>9117</v>
      </c>
      <c r="C36" s="5" t="s">
        <v>187</v>
      </c>
      <c r="D36" s="14" t="n">
        <v>45972</v>
      </c>
      <c r="E36" s="15" t="n">
        <v>-1.62</v>
      </c>
      <c r="F36" s="5" t="s">
        <v>222</v>
      </c>
      <c r="G36" s="5" t="s">
        <v>178</v>
      </c>
      <c r="H36" s="5" t="s">
        <v>189</v>
      </c>
      <c r="I36" s="5" t="s">
        <v>194</v>
      </c>
      <c r="J36" s="5" t="s">
        <v>181</v>
      </c>
      <c r="K36" s="16" t="n">
        <v>-60</v>
      </c>
      <c r="L36" s="5" t="s">
        <v>192</v>
      </c>
      <c r="M36" s="17" t="n">
        <v>36.9795800562811</v>
      </c>
      <c r="N36" s="3" t="str">
        <f aca="false">IF(OR(K36="",M36=""),"",IF(C36="STATS_ONLY","stats",IF(ROUND(K36/M36,2)=E36,"OK","CHECK")))</f>
        <v>OK</v>
      </c>
      <c r="O36" s="3" t="str">
        <f aca="false">TEXT(D36,"yyyy-mm")</f>
        <v>2025-11</v>
      </c>
      <c r="P36" s="13"/>
    </row>
    <row r="37" customFormat="false" ht="15" hidden="false" customHeight="false" outlineLevel="0" collapsed="false">
      <c r="A37" s="5" t="s">
        <v>28</v>
      </c>
      <c r="B37" s="5" t="n">
        <v>9118</v>
      </c>
      <c r="C37" s="5" t="s">
        <v>187</v>
      </c>
      <c r="D37" s="14" t="n">
        <v>45973</v>
      </c>
      <c r="E37" s="15" t="n">
        <v>-2.84</v>
      </c>
      <c r="F37" s="5" t="s">
        <v>193</v>
      </c>
      <c r="G37" s="5" t="s">
        <v>178</v>
      </c>
      <c r="H37" s="5" t="s">
        <v>189</v>
      </c>
      <c r="I37" s="5" t="s">
        <v>194</v>
      </c>
      <c r="J37" s="5" t="s">
        <v>195</v>
      </c>
      <c r="K37" s="16" t="n">
        <v>-105</v>
      </c>
      <c r="L37" s="5" t="s">
        <v>192</v>
      </c>
      <c r="M37" s="17" t="n">
        <v>36.9795800562811</v>
      </c>
      <c r="N37" s="3" t="str">
        <f aca="false">IF(OR(K37="",M37=""),"",IF(C37="STATS_ONLY","stats",IF(ROUND(K37/M37,2)=E37,"OK","CHECK")))</f>
        <v>OK</v>
      </c>
      <c r="O37" s="3" t="str">
        <f aca="false">TEXT(D37,"yyyy-mm")</f>
        <v>2025-11</v>
      </c>
      <c r="P37" s="13"/>
    </row>
    <row r="38" customFormat="false" ht="15" hidden="false" customHeight="false" outlineLevel="0" collapsed="false">
      <c r="A38" s="5" t="s">
        <v>28</v>
      </c>
      <c r="B38" s="5" t="n">
        <v>9119</v>
      </c>
      <c r="C38" s="5" t="s">
        <v>187</v>
      </c>
      <c r="D38" s="14" t="n">
        <v>45973</v>
      </c>
      <c r="E38" s="15" t="n">
        <v>-1.62</v>
      </c>
      <c r="F38" s="5" t="s">
        <v>221</v>
      </c>
      <c r="G38" s="5" t="s">
        <v>178</v>
      </c>
      <c r="H38" s="5" t="s">
        <v>189</v>
      </c>
      <c r="I38" s="5" t="s">
        <v>194</v>
      </c>
      <c r="J38" s="5" t="s">
        <v>199</v>
      </c>
      <c r="K38" s="16" t="n">
        <v>-60</v>
      </c>
      <c r="L38" s="5" t="s">
        <v>192</v>
      </c>
      <c r="M38" s="17" t="n">
        <v>36.9795800562811</v>
      </c>
      <c r="N38" s="3" t="str">
        <f aca="false">IF(OR(K38="",M38=""),"",IF(C38="STATS_ONLY","stats",IF(ROUND(K38/M38,2)=E38,"OK","CHECK")))</f>
        <v>OK</v>
      </c>
      <c r="O38" s="3" t="str">
        <f aca="false">TEXT(D38,"yyyy-mm")</f>
        <v>2025-11</v>
      </c>
      <c r="P38" s="13"/>
    </row>
    <row r="39" customFormat="false" ht="15" hidden="false" customHeight="false" outlineLevel="0" collapsed="false">
      <c r="A39" s="5" t="s">
        <v>28</v>
      </c>
      <c r="B39" s="5" t="n">
        <v>9120</v>
      </c>
      <c r="C39" s="5" t="s">
        <v>187</v>
      </c>
      <c r="D39" s="14" t="n">
        <v>45973</v>
      </c>
      <c r="E39" s="15" t="n">
        <v>-3.38</v>
      </c>
      <c r="F39" s="5" t="s">
        <v>223</v>
      </c>
      <c r="G39" s="5" t="s">
        <v>178</v>
      </c>
      <c r="H39" s="5" t="s">
        <v>189</v>
      </c>
      <c r="I39" s="5" t="s">
        <v>194</v>
      </c>
      <c r="J39" s="5" t="s">
        <v>206</v>
      </c>
      <c r="K39" s="16" t="n">
        <v>-125</v>
      </c>
      <c r="L39" s="5" t="s">
        <v>192</v>
      </c>
      <c r="M39" s="17" t="n">
        <v>36.9795800562811</v>
      </c>
      <c r="N39" s="3" t="str">
        <f aca="false">IF(OR(K39="",M39=""),"",IF(C39="STATS_ONLY","stats",IF(ROUND(K39/M39,2)=E39,"OK","CHECK")))</f>
        <v>OK</v>
      </c>
      <c r="O39" s="3" t="str">
        <f aca="false">TEXT(D39,"yyyy-mm")</f>
        <v>2025-11</v>
      </c>
      <c r="P39" s="13"/>
    </row>
    <row r="40" customFormat="false" ht="15" hidden="false" customHeight="false" outlineLevel="0" collapsed="false">
      <c r="A40" s="5" t="s">
        <v>28</v>
      </c>
      <c r="B40" s="5" t="n">
        <v>9121</v>
      </c>
      <c r="C40" s="5" t="s">
        <v>187</v>
      </c>
      <c r="D40" s="14" t="n">
        <v>45974</v>
      </c>
      <c r="E40" s="15" t="n">
        <v>-1.89</v>
      </c>
      <c r="F40" s="5" t="s">
        <v>224</v>
      </c>
      <c r="G40" s="5" t="s">
        <v>178</v>
      </c>
      <c r="H40" s="5" t="s">
        <v>189</v>
      </c>
      <c r="I40" s="5" t="s">
        <v>194</v>
      </c>
      <c r="J40" s="5" t="s">
        <v>195</v>
      </c>
      <c r="K40" s="16" t="n">
        <v>-70</v>
      </c>
      <c r="L40" s="5" t="s">
        <v>192</v>
      </c>
      <c r="M40" s="17" t="n">
        <v>36.9795800562811</v>
      </c>
      <c r="N40" s="3" t="str">
        <f aca="false">IF(OR(K40="",M40=""),"",IF(C40="STATS_ONLY","stats",IF(ROUND(K40/M40,2)=E40,"OK","CHECK")))</f>
        <v>OK</v>
      </c>
      <c r="O40" s="3" t="str">
        <f aca="false">TEXT(D40,"yyyy-mm")</f>
        <v>2025-11</v>
      </c>
      <c r="P40" s="13"/>
    </row>
    <row r="41" customFormat="false" ht="15" hidden="false" customHeight="false" outlineLevel="0" collapsed="false">
      <c r="A41" s="5" t="s">
        <v>28</v>
      </c>
      <c r="B41" s="5" t="n">
        <v>9122</v>
      </c>
      <c r="C41" s="5" t="s">
        <v>187</v>
      </c>
      <c r="D41" s="14" t="n">
        <v>45974</v>
      </c>
      <c r="E41" s="15" t="n">
        <v>-3.38</v>
      </c>
      <c r="F41" s="5" t="s">
        <v>208</v>
      </c>
      <c r="G41" s="5" t="s">
        <v>178</v>
      </c>
      <c r="H41" s="5" t="s">
        <v>189</v>
      </c>
      <c r="I41" s="5" t="s">
        <v>194</v>
      </c>
      <c r="J41" s="5" t="s">
        <v>209</v>
      </c>
      <c r="K41" s="16" t="n">
        <v>-125</v>
      </c>
      <c r="L41" s="5" t="s">
        <v>192</v>
      </c>
      <c r="M41" s="17" t="n">
        <v>36.9795800562811</v>
      </c>
      <c r="N41" s="3" t="str">
        <f aca="false">IF(OR(K41="",M41=""),"",IF(C41="STATS_ONLY","stats",IF(ROUND(K41/M41,2)=E41,"OK","CHECK")))</f>
        <v>OK</v>
      </c>
      <c r="O41" s="3" t="str">
        <f aca="false">TEXT(D41,"yyyy-mm")</f>
        <v>2025-11</v>
      </c>
      <c r="P41" s="13"/>
    </row>
    <row r="42" customFormat="false" ht="15" hidden="false" customHeight="false" outlineLevel="0" collapsed="false">
      <c r="A42" s="5" t="s">
        <v>28</v>
      </c>
      <c r="B42" s="5" t="n">
        <v>9123</v>
      </c>
      <c r="C42" s="5" t="s">
        <v>187</v>
      </c>
      <c r="D42" s="14" t="n">
        <v>45974</v>
      </c>
      <c r="E42" s="15" t="n">
        <v>-4.06</v>
      </c>
      <c r="F42" s="5" t="s">
        <v>225</v>
      </c>
      <c r="G42" s="5" t="s">
        <v>178</v>
      </c>
      <c r="H42" s="5" t="s">
        <v>189</v>
      </c>
      <c r="I42" s="5" t="s">
        <v>194</v>
      </c>
      <c r="J42" s="5" t="s">
        <v>197</v>
      </c>
      <c r="K42" s="16" t="n">
        <v>-150</v>
      </c>
      <c r="L42" s="5" t="s">
        <v>192</v>
      </c>
      <c r="M42" s="17" t="n">
        <v>36.9795800562811</v>
      </c>
      <c r="N42" s="3" t="str">
        <f aca="false">IF(OR(K42="",M42=""),"",IF(C42="STATS_ONLY","stats",IF(ROUND(K42/M42,2)=E42,"OK","CHECK")))</f>
        <v>OK</v>
      </c>
      <c r="O42" s="3" t="str">
        <f aca="false">TEXT(D42,"yyyy-mm")</f>
        <v>2025-11</v>
      </c>
      <c r="P42" s="13"/>
    </row>
    <row r="43" customFormat="false" ht="15" hidden="false" customHeight="false" outlineLevel="0" collapsed="false">
      <c r="A43" s="5" t="s">
        <v>28</v>
      </c>
      <c r="B43" s="5" t="n">
        <v>9124</v>
      </c>
      <c r="C43" s="5" t="s">
        <v>187</v>
      </c>
      <c r="D43" s="14" t="n">
        <v>45974</v>
      </c>
      <c r="E43" s="15" t="n">
        <v>-1.35</v>
      </c>
      <c r="F43" s="5" t="s">
        <v>218</v>
      </c>
      <c r="G43" s="5" t="s">
        <v>178</v>
      </c>
      <c r="H43" s="5" t="s">
        <v>189</v>
      </c>
      <c r="I43" s="5" t="s">
        <v>194</v>
      </c>
      <c r="J43" s="5" t="s">
        <v>199</v>
      </c>
      <c r="K43" s="16" t="n">
        <v>-50</v>
      </c>
      <c r="L43" s="5" t="s">
        <v>192</v>
      </c>
      <c r="M43" s="17" t="n">
        <v>36.9795800562811</v>
      </c>
      <c r="N43" s="3" t="str">
        <f aca="false">IF(OR(K43="",M43=""),"",IF(C43="STATS_ONLY","stats",IF(ROUND(K43/M43,2)=E43,"OK","CHECK")))</f>
        <v>OK</v>
      </c>
      <c r="O43" s="3" t="str">
        <f aca="false">TEXT(D43,"yyyy-mm")</f>
        <v>2025-11</v>
      </c>
      <c r="P43" s="13"/>
    </row>
    <row r="44" customFormat="false" ht="15" hidden="false" customHeight="false" outlineLevel="0" collapsed="false">
      <c r="A44" s="5" t="s">
        <v>28</v>
      </c>
      <c r="B44" s="5" t="n">
        <v>9125</v>
      </c>
      <c r="C44" s="5" t="s">
        <v>187</v>
      </c>
      <c r="D44" s="14" t="n">
        <v>45974</v>
      </c>
      <c r="E44" s="15" t="n">
        <v>-1.08</v>
      </c>
      <c r="F44" s="5" t="s">
        <v>222</v>
      </c>
      <c r="G44" s="5" t="s">
        <v>178</v>
      </c>
      <c r="H44" s="5" t="s">
        <v>189</v>
      </c>
      <c r="I44" s="5" t="s">
        <v>194</v>
      </c>
      <c r="J44" s="5" t="s">
        <v>181</v>
      </c>
      <c r="K44" s="16" t="n">
        <v>-40</v>
      </c>
      <c r="L44" s="5" t="s">
        <v>192</v>
      </c>
      <c r="M44" s="17" t="n">
        <v>36.9795800562811</v>
      </c>
      <c r="N44" s="3" t="str">
        <f aca="false">IF(OR(K44="",M44=""),"",IF(C44="STATS_ONLY","stats",IF(ROUND(K44/M44,2)=E44,"OK","CHECK")))</f>
        <v>OK</v>
      </c>
      <c r="O44" s="3" t="str">
        <f aca="false">TEXT(D44,"yyyy-mm")</f>
        <v>2025-11</v>
      </c>
      <c r="P44" s="13"/>
    </row>
    <row r="45" customFormat="false" ht="15" hidden="false" customHeight="false" outlineLevel="0" collapsed="false">
      <c r="A45" s="5" t="s">
        <v>28</v>
      </c>
      <c r="B45" s="5" t="n">
        <v>9126</v>
      </c>
      <c r="C45" s="5" t="s">
        <v>187</v>
      </c>
      <c r="D45" s="14" t="n">
        <v>45975</v>
      </c>
      <c r="E45" s="15" t="n">
        <v>-2.7</v>
      </c>
      <c r="F45" s="5" t="s">
        <v>216</v>
      </c>
      <c r="G45" s="5" t="s">
        <v>178</v>
      </c>
      <c r="H45" s="5" t="s">
        <v>189</v>
      </c>
      <c r="I45" s="5" t="s">
        <v>194</v>
      </c>
      <c r="J45" s="5" t="s">
        <v>195</v>
      </c>
      <c r="K45" s="16" t="n">
        <v>-100</v>
      </c>
      <c r="L45" s="5" t="s">
        <v>192</v>
      </c>
      <c r="M45" s="17" t="n">
        <v>36.9795800562811</v>
      </c>
      <c r="N45" s="3" t="str">
        <f aca="false">IF(OR(K45="",M45=""),"",IF(C45="STATS_ONLY","stats",IF(ROUND(K45/M45,2)=E45,"OK","CHECK")))</f>
        <v>OK</v>
      </c>
      <c r="O45" s="3" t="str">
        <f aca="false">TEXT(D45,"yyyy-mm")</f>
        <v>2025-11</v>
      </c>
      <c r="P45" s="13"/>
    </row>
    <row r="46" customFormat="false" ht="15" hidden="false" customHeight="false" outlineLevel="0" collapsed="false">
      <c r="A46" s="5" t="s">
        <v>28</v>
      </c>
      <c r="B46" s="5" t="n">
        <v>9127</v>
      </c>
      <c r="C46" s="5" t="s">
        <v>187</v>
      </c>
      <c r="D46" s="14" t="n">
        <v>45975</v>
      </c>
      <c r="E46" s="15" t="n">
        <v>-3.79</v>
      </c>
      <c r="F46" s="5" t="s">
        <v>208</v>
      </c>
      <c r="G46" s="5" t="s">
        <v>178</v>
      </c>
      <c r="H46" s="5" t="s">
        <v>189</v>
      </c>
      <c r="I46" s="5" t="s">
        <v>194</v>
      </c>
      <c r="J46" s="5" t="s">
        <v>209</v>
      </c>
      <c r="K46" s="16" t="n">
        <v>-140</v>
      </c>
      <c r="L46" s="5" t="s">
        <v>192</v>
      </c>
      <c r="M46" s="17" t="n">
        <v>36.9795800562811</v>
      </c>
      <c r="N46" s="3" t="str">
        <f aca="false">IF(OR(K46="",M46=""),"",IF(C46="STATS_ONLY","stats",IF(ROUND(K46/M46,2)=E46,"OK","CHECK")))</f>
        <v>OK</v>
      </c>
      <c r="O46" s="3" t="str">
        <f aca="false">TEXT(D46,"yyyy-mm")</f>
        <v>2025-11</v>
      </c>
      <c r="P46" s="13"/>
    </row>
    <row r="47" customFormat="false" ht="15" hidden="false" customHeight="false" outlineLevel="0" collapsed="false">
      <c r="A47" s="5" t="s">
        <v>28</v>
      </c>
      <c r="B47" s="5" t="n">
        <v>9128</v>
      </c>
      <c r="C47" s="5" t="s">
        <v>187</v>
      </c>
      <c r="D47" s="14" t="n">
        <v>45975</v>
      </c>
      <c r="E47" s="15" t="n">
        <v>-4.06</v>
      </c>
      <c r="F47" s="5" t="s">
        <v>226</v>
      </c>
      <c r="G47" s="5" t="s">
        <v>178</v>
      </c>
      <c r="H47" s="5" t="s">
        <v>189</v>
      </c>
      <c r="I47" s="5" t="s">
        <v>194</v>
      </c>
      <c r="J47" s="5" t="s">
        <v>197</v>
      </c>
      <c r="K47" s="16" t="n">
        <v>-150</v>
      </c>
      <c r="L47" s="5" t="s">
        <v>192</v>
      </c>
      <c r="M47" s="17" t="n">
        <v>36.9795800562811</v>
      </c>
      <c r="N47" s="3" t="str">
        <f aca="false">IF(OR(K47="",M47=""),"",IF(C47="STATS_ONLY","stats",IF(ROUND(K47/M47,2)=E47,"OK","CHECK")))</f>
        <v>OK</v>
      </c>
      <c r="O47" s="3" t="str">
        <f aca="false">TEXT(D47,"yyyy-mm")</f>
        <v>2025-11</v>
      </c>
      <c r="P47" s="13"/>
    </row>
    <row r="48" customFormat="false" ht="15" hidden="false" customHeight="false" outlineLevel="0" collapsed="false">
      <c r="A48" s="5" t="s">
        <v>28</v>
      </c>
      <c r="B48" s="5" t="n">
        <v>9129</v>
      </c>
      <c r="C48" s="5" t="s">
        <v>187</v>
      </c>
      <c r="D48" s="14" t="n">
        <v>45975</v>
      </c>
      <c r="E48" s="15" t="n">
        <v>-1.49</v>
      </c>
      <c r="F48" s="5" t="s">
        <v>211</v>
      </c>
      <c r="G48" s="5" t="s">
        <v>178</v>
      </c>
      <c r="H48" s="5" t="s">
        <v>189</v>
      </c>
      <c r="I48" s="5" t="s">
        <v>194</v>
      </c>
      <c r="J48" s="5" t="s">
        <v>199</v>
      </c>
      <c r="K48" s="16" t="n">
        <v>-55</v>
      </c>
      <c r="L48" s="5" t="s">
        <v>192</v>
      </c>
      <c r="M48" s="17" t="n">
        <v>36.9795800562811</v>
      </c>
      <c r="N48" s="3" t="str">
        <f aca="false">IF(OR(K48="",M48=""),"",IF(C48="STATS_ONLY","stats",IF(ROUND(K48/M48,2)=E48,"OK","CHECK")))</f>
        <v>OK</v>
      </c>
      <c r="O48" s="3" t="str">
        <f aca="false">TEXT(D48,"yyyy-mm")</f>
        <v>2025-11</v>
      </c>
      <c r="P48" s="13"/>
    </row>
    <row r="49" customFormat="false" ht="15" hidden="false" customHeight="false" outlineLevel="0" collapsed="false">
      <c r="A49" s="5" t="s">
        <v>28</v>
      </c>
      <c r="B49" s="5" t="n">
        <v>9130</v>
      </c>
      <c r="C49" s="5" t="s">
        <v>187</v>
      </c>
      <c r="D49" s="14" t="n">
        <v>45976</v>
      </c>
      <c r="E49" s="15" t="n">
        <v>-2.43</v>
      </c>
      <c r="F49" s="5" t="s">
        <v>227</v>
      </c>
      <c r="G49" s="5" t="s">
        <v>178</v>
      </c>
      <c r="H49" s="5" t="s">
        <v>189</v>
      </c>
      <c r="I49" s="5" t="s">
        <v>194</v>
      </c>
      <c r="J49" s="5" t="s">
        <v>195</v>
      </c>
      <c r="K49" s="16" t="n">
        <v>-90</v>
      </c>
      <c r="L49" s="5" t="s">
        <v>192</v>
      </c>
      <c r="M49" s="17" t="n">
        <v>36.9795800562811</v>
      </c>
      <c r="N49" s="3" t="str">
        <f aca="false">IF(OR(K49="",M49=""),"",IF(C49="STATS_ONLY","stats",IF(ROUND(K49/M49,2)=E49,"OK","CHECK")))</f>
        <v>OK</v>
      </c>
      <c r="O49" s="3" t="str">
        <f aca="false">TEXT(D49,"yyyy-mm")</f>
        <v>2025-11</v>
      </c>
      <c r="P49" s="13"/>
    </row>
    <row r="50" customFormat="false" ht="15" hidden="false" customHeight="false" outlineLevel="0" collapsed="false">
      <c r="A50" s="5" t="s">
        <v>28</v>
      </c>
      <c r="B50" s="5" t="n">
        <v>9131</v>
      </c>
      <c r="C50" s="5" t="s">
        <v>187</v>
      </c>
      <c r="D50" s="14" t="n">
        <v>45976</v>
      </c>
      <c r="E50" s="15" t="n">
        <v>-2.16</v>
      </c>
      <c r="F50" s="5" t="s">
        <v>217</v>
      </c>
      <c r="G50" s="5" t="s">
        <v>178</v>
      </c>
      <c r="H50" s="5" t="s">
        <v>189</v>
      </c>
      <c r="I50" s="5" t="s">
        <v>194</v>
      </c>
      <c r="J50" s="5" t="s">
        <v>209</v>
      </c>
      <c r="K50" s="16" t="n">
        <v>-80</v>
      </c>
      <c r="L50" s="5" t="s">
        <v>192</v>
      </c>
      <c r="M50" s="17" t="n">
        <v>36.9795800562811</v>
      </c>
      <c r="N50" s="3" t="str">
        <f aca="false">IF(OR(K50="",M50=""),"",IF(C50="STATS_ONLY","stats",IF(ROUND(K50/M50,2)=E50,"OK","CHECK")))</f>
        <v>OK</v>
      </c>
      <c r="O50" s="3" t="str">
        <f aca="false">TEXT(D50,"yyyy-mm")</f>
        <v>2025-11</v>
      </c>
      <c r="P50" s="13"/>
    </row>
    <row r="51" customFormat="false" ht="15" hidden="false" customHeight="false" outlineLevel="0" collapsed="false">
      <c r="A51" s="5" t="s">
        <v>28</v>
      </c>
      <c r="B51" s="5" t="n">
        <v>9132</v>
      </c>
      <c r="C51" s="5" t="s">
        <v>187</v>
      </c>
      <c r="D51" s="14" t="n">
        <v>45976</v>
      </c>
      <c r="E51" s="15" t="n">
        <v>-3.38</v>
      </c>
      <c r="F51" s="5" t="s">
        <v>210</v>
      </c>
      <c r="G51" s="5" t="s">
        <v>178</v>
      </c>
      <c r="H51" s="5" t="s">
        <v>189</v>
      </c>
      <c r="I51" s="5" t="s">
        <v>194</v>
      </c>
      <c r="J51" s="5" t="s">
        <v>197</v>
      </c>
      <c r="K51" s="16" t="n">
        <v>-125</v>
      </c>
      <c r="L51" s="5" t="s">
        <v>192</v>
      </c>
      <c r="M51" s="17" t="n">
        <v>36.9795800562811</v>
      </c>
      <c r="N51" s="3" t="str">
        <f aca="false">IF(OR(K51="",M51=""),"",IF(C51="STATS_ONLY","stats",IF(ROUND(K51/M51,2)=E51,"OK","CHECK")))</f>
        <v>OK</v>
      </c>
      <c r="O51" s="3" t="str">
        <f aca="false">TEXT(D51,"yyyy-mm")</f>
        <v>2025-11</v>
      </c>
      <c r="P51" s="13"/>
    </row>
    <row r="52" customFormat="false" ht="15" hidden="false" customHeight="false" outlineLevel="0" collapsed="false">
      <c r="A52" s="5" t="s">
        <v>28</v>
      </c>
      <c r="B52" s="5" t="n">
        <v>9133</v>
      </c>
      <c r="C52" s="5" t="s">
        <v>187</v>
      </c>
      <c r="D52" s="14" t="n">
        <v>45976</v>
      </c>
      <c r="E52" s="15" t="n">
        <v>-1.76</v>
      </c>
      <c r="F52" s="5" t="s">
        <v>211</v>
      </c>
      <c r="G52" s="5" t="s">
        <v>178</v>
      </c>
      <c r="H52" s="5" t="s">
        <v>189</v>
      </c>
      <c r="I52" s="5" t="s">
        <v>194</v>
      </c>
      <c r="J52" s="5" t="s">
        <v>199</v>
      </c>
      <c r="K52" s="16" t="n">
        <v>-65</v>
      </c>
      <c r="L52" s="5" t="s">
        <v>192</v>
      </c>
      <c r="M52" s="17" t="n">
        <v>36.9795800562811</v>
      </c>
      <c r="N52" s="3" t="str">
        <f aca="false">IF(OR(K52="",M52=""),"",IF(C52="STATS_ONLY","stats",IF(ROUND(K52/M52,2)=E52,"OK","CHECK")))</f>
        <v>OK</v>
      </c>
      <c r="O52" s="3" t="str">
        <f aca="false">TEXT(D52,"yyyy-mm")</f>
        <v>2025-11</v>
      </c>
      <c r="P52" s="13"/>
    </row>
    <row r="53" customFormat="false" ht="15" hidden="false" customHeight="false" outlineLevel="0" collapsed="false">
      <c r="A53" s="5" t="s">
        <v>28</v>
      </c>
      <c r="B53" s="5" t="n">
        <v>9134</v>
      </c>
      <c r="C53" s="5" t="s">
        <v>187</v>
      </c>
      <c r="D53" s="14" t="n">
        <v>45976</v>
      </c>
      <c r="E53" s="15" t="n">
        <v>-3.25</v>
      </c>
      <c r="F53" s="5" t="s">
        <v>228</v>
      </c>
      <c r="G53" s="5" t="s">
        <v>178</v>
      </c>
      <c r="H53" s="5" t="s">
        <v>189</v>
      </c>
      <c r="I53" s="5" t="s">
        <v>194</v>
      </c>
      <c r="J53" s="5" t="s">
        <v>229</v>
      </c>
      <c r="K53" s="16" t="n">
        <v>-120</v>
      </c>
      <c r="L53" s="5" t="s">
        <v>192</v>
      </c>
      <c r="M53" s="17" t="n">
        <v>36.9795800562811</v>
      </c>
      <c r="N53" s="3" t="str">
        <f aca="false">IF(OR(K53="",M53=""),"",IF(C53="STATS_ONLY","stats",IF(ROUND(K53/M53,2)=E53,"OK","CHECK")))</f>
        <v>OK</v>
      </c>
      <c r="O53" s="3" t="str">
        <f aca="false">TEXT(D53,"yyyy-mm")</f>
        <v>2025-11</v>
      </c>
      <c r="P53" s="13"/>
    </row>
    <row r="54" customFormat="false" ht="15" hidden="false" customHeight="false" outlineLevel="0" collapsed="false">
      <c r="A54" s="5" t="s">
        <v>28</v>
      </c>
      <c r="B54" s="5" t="n">
        <v>9135</v>
      </c>
      <c r="C54" s="5" t="s">
        <v>187</v>
      </c>
      <c r="D54" s="14" t="n">
        <v>45976</v>
      </c>
      <c r="E54" s="15" t="n">
        <v>-2.97</v>
      </c>
      <c r="F54" s="5" t="s">
        <v>230</v>
      </c>
      <c r="G54" s="5" t="s">
        <v>178</v>
      </c>
      <c r="H54" s="5" t="s">
        <v>189</v>
      </c>
      <c r="I54" s="5" t="s">
        <v>194</v>
      </c>
      <c r="J54" s="5" t="s">
        <v>231</v>
      </c>
      <c r="K54" s="16" t="n">
        <v>-110</v>
      </c>
      <c r="L54" s="5" t="s">
        <v>192</v>
      </c>
      <c r="M54" s="17" t="n">
        <v>36.9795800562811</v>
      </c>
      <c r="N54" s="3" t="str">
        <f aca="false">IF(OR(K54="",M54=""),"",IF(C54="STATS_ONLY","stats",IF(ROUND(K54/M54,2)=E54,"OK","CHECK")))</f>
        <v>OK</v>
      </c>
      <c r="O54" s="3" t="str">
        <f aca="false">TEXT(D54,"yyyy-mm")</f>
        <v>2025-11</v>
      </c>
      <c r="P54" s="13"/>
    </row>
    <row r="55" customFormat="false" ht="15" hidden="false" customHeight="false" outlineLevel="0" collapsed="false">
      <c r="A55" s="5" t="s">
        <v>28</v>
      </c>
      <c r="B55" s="5" t="n">
        <v>9136</v>
      </c>
      <c r="C55" s="5" t="s">
        <v>187</v>
      </c>
      <c r="D55" s="14" t="n">
        <v>45977</v>
      </c>
      <c r="E55" s="15" t="n">
        <v>-2.03</v>
      </c>
      <c r="F55" s="5" t="s">
        <v>216</v>
      </c>
      <c r="G55" s="5" t="s">
        <v>178</v>
      </c>
      <c r="H55" s="5" t="s">
        <v>189</v>
      </c>
      <c r="I55" s="5" t="s">
        <v>194</v>
      </c>
      <c r="J55" s="5" t="s">
        <v>195</v>
      </c>
      <c r="K55" s="16" t="n">
        <v>-75</v>
      </c>
      <c r="L55" s="5" t="s">
        <v>192</v>
      </c>
      <c r="M55" s="17" t="n">
        <v>36.9795800562811</v>
      </c>
      <c r="N55" s="3" t="str">
        <f aca="false">IF(OR(K55="",M55=""),"",IF(C55="STATS_ONLY","stats",IF(ROUND(K55/M55,2)=E55,"OK","CHECK")))</f>
        <v>OK</v>
      </c>
      <c r="O55" s="3" t="str">
        <f aca="false">TEXT(D55,"yyyy-mm")</f>
        <v>2025-11</v>
      </c>
      <c r="P55" s="13"/>
    </row>
    <row r="56" customFormat="false" ht="15" hidden="false" customHeight="false" outlineLevel="0" collapsed="false">
      <c r="A56" s="5" t="s">
        <v>28</v>
      </c>
      <c r="B56" s="5" t="n">
        <v>9137</v>
      </c>
      <c r="C56" s="5" t="s">
        <v>187</v>
      </c>
      <c r="D56" s="14" t="n">
        <v>45978</v>
      </c>
      <c r="E56" s="15" t="n">
        <v>-2.84</v>
      </c>
      <c r="F56" s="5" t="s">
        <v>224</v>
      </c>
      <c r="G56" s="5" t="s">
        <v>178</v>
      </c>
      <c r="H56" s="5" t="s">
        <v>189</v>
      </c>
      <c r="I56" s="5" t="s">
        <v>194</v>
      </c>
      <c r="J56" s="5" t="s">
        <v>195</v>
      </c>
      <c r="K56" s="16" t="n">
        <v>-105</v>
      </c>
      <c r="L56" s="5" t="s">
        <v>192</v>
      </c>
      <c r="M56" s="17" t="n">
        <v>36.9795800562811</v>
      </c>
      <c r="N56" s="3" t="str">
        <f aca="false">IF(OR(K56="",M56=""),"",IF(C56="STATS_ONLY","stats",IF(ROUND(K56/M56,2)=E56,"OK","CHECK")))</f>
        <v>OK</v>
      </c>
      <c r="O56" s="3" t="str">
        <f aca="false">TEXT(D56,"yyyy-mm")</f>
        <v>2025-11</v>
      </c>
      <c r="P56" s="13"/>
    </row>
    <row r="57" customFormat="false" ht="15" hidden="false" customHeight="false" outlineLevel="0" collapsed="false">
      <c r="A57" s="5" t="s">
        <v>28</v>
      </c>
      <c r="B57" s="5" t="n">
        <v>9138</v>
      </c>
      <c r="C57" s="5" t="s">
        <v>187</v>
      </c>
      <c r="D57" s="14" t="n">
        <v>45978</v>
      </c>
      <c r="E57" s="15" t="n">
        <v>-2.03</v>
      </c>
      <c r="F57" s="5" t="s">
        <v>232</v>
      </c>
      <c r="G57" s="5" t="s">
        <v>178</v>
      </c>
      <c r="H57" s="5" t="s">
        <v>189</v>
      </c>
      <c r="I57" s="5" t="s">
        <v>194</v>
      </c>
      <c r="J57" s="5" t="s">
        <v>209</v>
      </c>
      <c r="K57" s="16" t="n">
        <v>-75</v>
      </c>
      <c r="L57" s="5" t="s">
        <v>192</v>
      </c>
      <c r="M57" s="17" t="n">
        <v>36.9795800562811</v>
      </c>
      <c r="N57" s="3" t="str">
        <f aca="false">IF(OR(K57="",M57=""),"",IF(C57="STATS_ONLY","stats",IF(ROUND(K57/M57,2)=E57,"OK","CHECK")))</f>
        <v>OK</v>
      </c>
      <c r="O57" s="3" t="str">
        <f aca="false">TEXT(D57,"yyyy-mm")</f>
        <v>2025-11</v>
      </c>
      <c r="P57" s="13"/>
    </row>
    <row r="58" customFormat="false" ht="15" hidden="false" customHeight="false" outlineLevel="0" collapsed="false">
      <c r="A58" s="5" t="s">
        <v>28</v>
      </c>
      <c r="B58" s="5" t="n">
        <v>9139</v>
      </c>
      <c r="C58" s="5" t="s">
        <v>187</v>
      </c>
      <c r="D58" s="14" t="n">
        <v>45978</v>
      </c>
      <c r="E58" s="15" t="n">
        <v>-3.25</v>
      </c>
      <c r="F58" s="5" t="s">
        <v>225</v>
      </c>
      <c r="G58" s="5" t="s">
        <v>178</v>
      </c>
      <c r="H58" s="5" t="s">
        <v>189</v>
      </c>
      <c r="I58" s="5" t="s">
        <v>194</v>
      </c>
      <c r="J58" s="5" t="s">
        <v>197</v>
      </c>
      <c r="K58" s="16" t="n">
        <v>-120</v>
      </c>
      <c r="L58" s="5" t="s">
        <v>192</v>
      </c>
      <c r="M58" s="17" t="n">
        <v>36.9795800562811</v>
      </c>
      <c r="N58" s="3" t="str">
        <f aca="false">IF(OR(K58="",M58=""),"",IF(C58="STATS_ONLY","stats",IF(ROUND(K58/M58,2)=E58,"OK","CHECK")))</f>
        <v>OK</v>
      </c>
      <c r="O58" s="3" t="str">
        <f aca="false">TEXT(D58,"yyyy-mm")</f>
        <v>2025-11</v>
      </c>
      <c r="P58" s="13"/>
    </row>
    <row r="59" customFormat="false" ht="15" hidden="false" customHeight="false" outlineLevel="0" collapsed="false">
      <c r="A59" s="5" t="s">
        <v>28</v>
      </c>
      <c r="B59" s="5" t="n">
        <v>9140</v>
      </c>
      <c r="C59" s="5" t="s">
        <v>187</v>
      </c>
      <c r="D59" s="14" t="n">
        <v>45978</v>
      </c>
      <c r="E59" s="15" t="n">
        <v>-0.95</v>
      </c>
      <c r="F59" s="5" t="s">
        <v>233</v>
      </c>
      <c r="G59" s="5" t="s">
        <v>178</v>
      </c>
      <c r="H59" s="5" t="s">
        <v>189</v>
      </c>
      <c r="I59" s="5" t="s">
        <v>194</v>
      </c>
      <c r="J59" s="5" t="s">
        <v>181</v>
      </c>
      <c r="K59" s="16" t="n">
        <v>-35</v>
      </c>
      <c r="L59" s="5" t="s">
        <v>192</v>
      </c>
      <c r="M59" s="17" t="n">
        <v>36.9795800562811</v>
      </c>
      <c r="N59" s="3" t="str">
        <f aca="false">IF(OR(K59="",M59=""),"",IF(C59="STATS_ONLY","stats",IF(ROUND(K59/M59,2)=E59,"OK","CHECK")))</f>
        <v>OK</v>
      </c>
      <c r="O59" s="3" t="str">
        <f aca="false">TEXT(D59,"yyyy-mm")</f>
        <v>2025-11</v>
      </c>
      <c r="P59" s="13"/>
    </row>
    <row r="60" customFormat="false" ht="15" hidden="false" customHeight="false" outlineLevel="0" collapsed="false">
      <c r="A60" s="5" t="s">
        <v>28</v>
      </c>
      <c r="B60" s="5" t="n">
        <v>9141</v>
      </c>
      <c r="C60" s="5" t="s">
        <v>187</v>
      </c>
      <c r="D60" s="14" t="n">
        <v>45978</v>
      </c>
      <c r="E60" s="15" t="n">
        <v>-2.97</v>
      </c>
      <c r="F60" s="5" t="s">
        <v>234</v>
      </c>
      <c r="G60" s="5" t="s">
        <v>178</v>
      </c>
      <c r="H60" s="5" t="s">
        <v>189</v>
      </c>
      <c r="I60" s="5" t="s">
        <v>194</v>
      </c>
      <c r="J60" s="5" t="s">
        <v>235</v>
      </c>
      <c r="K60" s="16" t="n">
        <v>-110</v>
      </c>
      <c r="L60" s="5" t="s">
        <v>192</v>
      </c>
      <c r="M60" s="17" t="n">
        <v>36.9795800562811</v>
      </c>
      <c r="N60" s="3" t="str">
        <f aca="false">IF(OR(K60="",M60=""),"",IF(C60="STATS_ONLY","stats",IF(ROUND(K60/M60,2)=E60,"OK","CHECK")))</f>
        <v>OK</v>
      </c>
      <c r="O60" s="3" t="str">
        <f aca="false">TEXT(D60,"yyyy-mm")</f>
        <v>2025-11</v>
      </c>
      <c r="P60" s="13"/>
    </row>
    <row r="61" customFormat="false" ht="15" hidden="false" customHeight="false" outlineLevel="0" collapsed="false">
      <c r="A61" s="5" t="s">
        <v>28</v>
      </c>
      <c r="B61" s="5" t="n">
        <v>9142</v>
      </c>
      <c r="C61" s="5" t="s">
        <v>187</v>
      </c>
      <c r="D61" s="14" t="n">
        <v>45978</v>
      </c>
      <c r="E61" s="15" t="n">
        <v>-6.76</v>
      </c>
      <c r="F61" s="5" t="s">
        <v>236</v>
      </c>
      <c r="G61" s="5" t="s">
        <v>178</v>
      </c>
      <c r="H61" s="5" t="s">
        <v>189</v>
      </c>
      <c r="I61" s="5" t="s">
        <v>194</v>
      </c>
      <c r="J61" s="5" t="s">
        <v>237</v>
      </c>
      <c r="K61" s="16" t="n">
        <v>-250</v>
      </c>
      <c r="L61" s="5" t="s">
        <v>192</v>
      </c>
      <c r="M61" s="17" t="n">
        <v>36.9795800562811</v>
      </c>
      <c r="N61" s="3" t="str">
        <f aca="false">IF(OR(K61="",M61=""),"",IF(C61="STATS_ONLY","stats",IF(ROUND(K61/M61,2)=E61,"OK","CHECK")))</f>
        <v>OK</v>
      </c>
      <c r="O61" s="3" t="str">
        <f aca="false">TEXT(D61,"yyyy-mm")</f>
        <v>2025-11</v>
      </c>
      <c r="P61" s="13"/>
    </row>
    <row r="62" customFormat="false" ht="15" hidden="false" customHeight="false" outlineLevel="0" collapsed="false">
      <c r="A62" s="5" t="s">
        <v>28</v>
      </c>
      <c r="B62" s="5" t="n">
        <v>9143</v>
      </c>
      <c r="C62" s="5" t="s">
        <v>187</v>
      </c>
      <c r="D62" s="14" t="n">
        <v>45978</v>
      </c>
      <c r="E62" s="15" t="n">
        <v>-1.22</v>
      </c>
      <c r="F62" s="5" t="s">
        <v>238</v>
      </c>
      <c r="G62" s="5" t="s">
        <v>178</v>
      </c>
      <c r="H62" s="5" t="s">
        <v>189</v>
      </c>
      <c r="I62" s="5" t="s">
        <v>194</v>
      </c>
      <c r="J62" s="5" t="s">
        <v>206</v>
      </c>
      <c r="K62" s="16" t="n">
        <v>-45</v>
      </c>
      <c r="L62" s="5" t="s">
        <v>192</v>
      </c>
      <c r="M62" s="17" t="n">
        <v>36.9795800562811</v>
      </c>
      <c r="N62" s="3" t="str">
        <f aca="false">IF(OR(K62="",M62=""),"",IF(C62="STATS_ONLY","stats",IF(ROUND(K62/M62,2)=E62,"OK","CHECK")))</f>
        <v>OK</v>
      </c>
      <c r="O62" s="3" t="str">
        <f aca="false">TEXT(D62,"yyyy-mm")</f>
        <v>2025-11</v>
      </c>
      <c r="P62" s="13"/>
    </row>
    <row r="63" customFormat="false" ht="15" hidden="false" customHeight="false" outlineLevel="0" collapsed="false">
      <c r="A63" s="5" t="s">
        <v>28</v>
      </c>
      <c r="B63" s="5" t="n">
        <v>9004</v>
      </c>
      <c r="C63" s="5" t="s">
        <v>239</v>
      </c>
      <c r="D63" s="14" t="n">
        <v>45979</v>
      </c>
      <c r="E63" s="15" t="n">
        <v>-48.89</v>
      </c>
      <c r="F63" s="5" t="s">
        <v>240</v>
      </c>
      <c r="G63" s="5" t="s">
        <v>178</v>
      </c>
      <c r="H63" s="5" t="s">
        <v>189</v>
      </c>
      <c r="I63" s="5" t="s">
        <v>194</v>
      </c>
      <c r="J63" s="5" t="s">
        <v>237</v>
      </c>
      <c r="K63" s="16" t="n">
        <v>-1800</v>
      </c>
      <c r="L63" s="5" t="s">
        <v>192</v>
      </c>
      <c r="M63" s="17" t="n">
        <v>36.82</v>
      </c>
      <c r="N63" s="3" t="str">
        <f aca="false">IF(OR(K63="",M63=""),"",IF(C63="STATS_ONLY","stats",IF(ROUND(K63/M63,2)=E63,"OK","CHECK")))</f>
        <v>OK</v>
      </c>
      <c r="O63" s="3" t="str">
        <f aca="false">TEXT(D63,"yyyy-mm")</f>
        <v>2025-11</v>
      </c>
      <c r="P63" s="13"/>
    </row>
    <row r="64" customFormat="false" ht="15" hidden="false" customHeight="false" outlineLevel="0" collapsed="false">
      <c r="A64" s="5" t="s">
        <v>28</v>
      </c>
      <c r="B64" s="5" t="n">
        <v>9144</v>
      </c>
      <c r="C64" s="5" t="s">
        <v>187</v>
      </c>
      <c r="D64" s="14" t="n">
        <v>45979</v>
      </c>
      <c r="E64" s="15" t="n">
        <v>-2.57</v>
      </c>
      <c r="F64" s="5" t="s">
        <v>241</v>
      </c>
      <c r="G64" s="5" t="s">
        <v>178</v>
      </c>
      <c r="H64" s="5" t="s">
        <v>189</v>
      </c>
      <c r="I64" s="5" t="s">
        <v>194</v>
      </c>
      <c r="J64" s="5" t="s">
        <v>209</v>
      </c>
      <c r="K64" s="16" t="n">
        <v>-95</v>
      </c>
      <c r="L64" s="5" t="s">
        <v>192</v>
      </c>
      <c r="M64" s="17" t="n">
        <v>36.9795800562811</v>
      </c>
      <c r="N64" s="3" t="str">
        <f aca="false">IF(OR(K64="",M64=""),"",IF(C64="STATS_ONLY","stats",IF(ROUND(K64/M64,2)=E64,"OK","CHECK")))</f>
        <v>OK</v>
      </c>
      <c r="O64" s="3" t="str">
        <f aca="false">TEXT(D64,"yyyy-mm")</f>
        <v>2025-11</v>
      </c>
      <c r="P64" s="13"/>
    </row>
    <row r="65" customFormat="false" ht="15" hidden="false" customHeight="false" outlineLevel="0" collapsed="false">
      <c r="A65" s="5" t="s">
        <v>28</v>
      </c>
      <c r="B65" s="5" t="n">
        <v>9145</v>
      </c>
      <c r="C65" s="5" t="s">
        <v>187</v>
      </c>
      <c r="D65" s="14" t="n">
        <v>45979</v>
      </c>
      <c r="E65" s="15" t="n">
        <v>-1.76</v>
      </c>
      <c r="F65" s="5" t="s">
        <v>212</v>
      </c>
      <c r="G65" s="5" t="s">
        <v>178</v>
      </c>
      <c r="H65" s="5" t="s">
        <v>189</v>
      </c>
      <c r="I65" s="5" t="s">
        <v>194</v>
      </c>
      <c r="J65" s="5" t="s">
        <v>181</v>
      </c>
      <c r="K65" s="16" t="n">
        <v>-65</v>
      </c>
      <c r="L65" s="5" t="s">
        <v>192</v>
      </c>
      <c r="M65" s="17" t="n">
        <v>36.9795800562811</v>
      </c>
      <c r="N65" s="3" t="str">
        <f aca="false">IF(OR(K65="",M65=""),"",IF(C65="STATS_ONLY","stats",IF(ROUND(K65/M65,2)=E65,"OK","CHECK")))</f>
        <v>OK</v>
      </c>
      <c r="O65" s="3" t="str">
        <f aca="false">TEXT(D65,"yyyy-mm")</f>
        <v>2025-11</v>
      </c>
      <c r="P65" s="13"/>
    </row>
    <row r="66" customFormat="false" ht="15" hidden="false" customHeight="false" outlineLevel="0" collapsed="false">
      <c r="A66" s="5" t="s">
        <v>28</v>
      </c>
      <c r="B66" s="5" t="n">
        <v>9146</v>
      </c>
      <c r="C66" s="5" t="s">
        <v>187</v>
      </c>
      <c r="D66" s="14" t="n">
        <v>45981</v>
      </c>
      <c r="E66" s="15" t="n">
        <v>-2.03</v>
      </c>
      <c r="F66" s="5" t="s">
        <v>198</v>
      </c>
      <c r="G66" s="5" t="s">
        <v>178</v>
      </c>
      <c r="H66" s="5" t="s">
        <v>189</v>
      </c>
      <c r="I66" s="5" t="s">
        <v>194</v>
      </c>
      <c r="J66" s="5" t="s">
        <v>199</v>
      </c>
      <c r="K66" s="16" t="n">
        <v>-75</v>
      </c>
      <c r="L66" s="5" t="s">
        <v>192</v>
      </c>
      <c r="M66" s="17" t="n">
        <v>36.9795800562811</v>
      </c>
      <c r="N66" s="3" t="str">
        <f aca="false">IF(OR(K66="",M66=""),"",IF(C66="STATS_ONLY","stats",IF(ROUND(K66/M66,2)=E66,"OK","CHECK")))</f>
        <v>OK</v>
      </c>
      <c r="O66" s="3" t="str">
        <f aca="false">TEXT(D66,"yyyy-mm")</f>
        <v>2025-11</v>
      </c>
      <c r="P66" s="13"/>
    </row>
    <row r="67" customFormat="false" ht="15" hidden="false" customHeight="false" outlineLevel="0" collapsed="false">
      <c r="A67" s="5" t="s">
        <v>28</v>
      </c>
      <c r="B67" s="5" t="n">
        <v>9147</v>
      </c>
      <c r="C67" s="5" t="s">
        <v>187</v>
      </c>
      <c r="D67" s="14" t="n">
        <v>45981</v>
      </c>
      <c r="E67" s="15" t="n">
        <v>-1.08</v>
      </c>
      <c r="F67" s="5" t="s">
        <v>242</v>
      </c>
      <c r="G67" s="5" t="s">
        <v>178</v>
      </c>
      <c r="H67" s="5" t="s">
        <v>189</v>
      </c>
      <c r="I67" s="5" t="s">
        <v>194</v>
      </c>
      <c r="J67" s="5" t="s">
        <v>242</v>
      </c>
      <c r="K67" s="16" t="n">
        <v>-40</v>
      </c>
      <c r="L67" s="5" t="s">
        <v>192</v>
      </c>
      <c r="M67" s="17" t="n">
        <v>36.9795800562811</v>
      </c>
      <c r="N67" s="3" t="str">
        <f aca="false">IF(OR(K67="",M67=""),"",IF(C67="STATS_ONLY","stats",IF(ROUND(K67/M67,2)=E67,"OK","CHECK")))</f>
        <v>OK</v>
      </c>
      <c r="O67" s="3" t="str">
        <f aca="false">TEXT(D67,"yyyy-mm")</f>
        <v>2025-11</v>
      </c>
      <c r="P67" s="13"/>
    </row>
    <row r="68" customFormat="false" ht="15" hidden="false" customHeight="false" outlineLevel="0" collapsed="false">
      <c r="A68" s="5" t="s">
        <v>28</v>
      </c>
      <c r="B68" s="5" t="n">
        <v>9595</v>
      </c>
      <c r="C68" s="5" t="s">
        <v>152</v>
      </c>
      <c r="D68" s="14" t="n">
        <v>45981</v>
      </c>
      <c r="E68" s="15" t="n">
        <v>-152</v>
      </c>
      <c r="F68" s="5" t="s">
        <v>243</v>
      </c>
      <c r="G68" s="5" t="s">
        <v>163</v>
      </c>
      <c r="H68" s="5" t="s">
        <v>164</v>
      </c>
      <c r="I68" s="5" t="s">
        <v>244</v>
      </c>
      <c r="J68" s="5"/>
      <c r="K68" s="16"/>
      <c r="L68" s="5"/>
      <c r="M68" s="17"/>
      <c r="N68" s="3" t="str">
        <f aca="false">IF(OR(K68="",M68=""),"",IF(C68="STATS_ONLY","stats",IF(ROUND(K68/M68,2)=E68,"OK","CHECK")))</f>
        <v/>
      </c>
      <c r="O68" s="3" t="str">
        <f aca="false">TEXT(D68,"yyyy-mm")</f>
        <v>2025-11</v>
      </c>
      <c r="P68" s="13"/>
    </row>
    <row r="69" customFormat="false" ht="15" hidden="false" customHeight="false" outlineLevel="0" collapsed="false">
      <c r="A69" s="5" t="s">
        <v>28</v>
      </c>
      <c r="B69" s="5" t="n">
        <v>9596</v>
      </c>
      <c r="C69" s="5" t="s">
        <v>152</v>
      </c>
      <c r="D69" s="14" t="n">
        <v>45981</v>
      </c>
      <c r="E69" s="15" t="n">
        <v>131</v>
      </c>
      <c r="F69" s="5" t="s">
        <v>245</v>
      </c>
      <c r="G69" s="5" t="s">
        <v>163</v>
      </c>
      <c r="H69" s="5" t="s">
        <v>164</v>
      </c>
      <c r="I69" s="5" t="s">
        <v>244</v>
      </c>
      <c r="J69" s="5"/>
      <c r="K69" s="16"/>
      <c r="L69" s="5"/>
      <c r="M69" s="17"/>
      <c r="N69" s="3" t="str">
        <f aca="false">IF(OR(K69="",M69=""),"",IF(C69="STATS_ONLY","stats",IF(ROUND(K69/M69,2)=E69,"OK","CHECK")))</f>
        <v/>
      </c>
      <c r="O69" s="3" t="str">
        <f aca="false">TEXT(D69,"yyyy-mm")</f>
        <v>2025-11</v>
      </c>
      <c r="P69" s="13"/>
    </row>
    <row r="70" customFormat="false" ht="15" hidden="false" customHeight="false" outlineLevel="0" collapsed="false">
      <c r="A70" s="5" t="s">
        <v>28</v>
      </c>
      <c r="B70" s="5" t="n">
        <v>9148</v>
      </c>
      <c r="C70" s="5" t="s">
        <v>187</v>
      </c>
      <c r="D70" s="14" t="n">
        <v>45982</v>
      </c>
      <c r="E70" s="15" t="n">
        <v>-2.43</v>
      </c>
      <c r="F70" s="5" t="s">
        <v>193</v>
      </c>
      <c r="G70" s="5" t="s">
        <v>178</v>
      </c>
      <c r="H70" s="5" t="s">
        <v>189</v>
      </c>
      <c r="I70" s="5" t="s">
        <v>194</v>
      </c>
      <c r="J70" s="5" t="s">
        <v>195</v>
      </c>
      <c r="K70" s="16" t="n">
        <v>-90</v>
      </c>
      <c r="L70" s="5" t="s">
        <v>192</v>
      </c>
      <c r="M70" s="17" t="n">
        <v>36.9795800562811</v>
      </c>
      <c r="N70" s="3" t="str">
        <f aca="false">IF(OR(K70="",M70=""),"",IF(C70="STATS_ONLY","stats",IF(ROUND(K70/M70,2)=E70,"OK","CHECK")))</f>
        <v>OK</v>
      </c>
      <c r="O70" s="3" t="str">
        <f aca="false">TEXT(D70,"yyyy-mm")</f>
        <v>2025-11</v>
      </c>
      <c r="P70" s="13"/>
    </row>
    <row r="71" customFormat="false" ht="15" hidden="false" customHeight="false" outlineLevel="0" collapsed="false">
      <c r="A71" s="5" t="s">
        <v>28</v>
      </c>
      <c r="B71" s="5" t="n">
        <v>9149</v>
      </c>
      <c r="C71" s="5" t="s">
        <v>187</v>
      </c>
      <c r="D71" s="14" t="n">
        <v>45982</v>
      </c>
      <c r="E71" s="15" t="n">
        <v>-2.7</v>
      </c>
      <c r="F71" s="5" t="s">
        <v>246</v>
      </c>
      <c r="G71" s="5" t="s">
        <v>178</v>
      </c>
      <c r="H71" s="5" t="s">
        <v>189</v>
      </c>
      <c r="I71" s="5" t="s">
        <v>194</v>
      </c>
      <c r="J71" s="5" t="s">
        <v>209</v>
      </c>
      <c r="K71" s="16" t="n">
        <v>-100</v>
      </c>
      <c r="L71" s="5" t="s">
        <v>192</v>
      </c>
      <c r="M71" s="17" t="n">
        <v>36.9795800562811</v>
      </c>
      <c r="N71" s="3" t="str">
        <f aca="false">IF(OR(K71="",M71=""),"",IF(C71="STATS_ONLY","stats",IF(ROUND(K71/M71,2)=E71,"OK","CHECK")))</f>
        <v>OK</v>
      </c>
      <c r="O71" s="3" t="str">
        <f aca="false">TEXT(D71,"yyyy-mm")</f>
        <v>2025-11</v>
      </c>
      <c r="P71" s="13"/>
    </row>
    <row r="72" customFormat="false" ht="15" hidden="false" customHeight="false" outlineLevel="0" collapsed="false">
      <c r="A72" s="5" t="s">
        <v>28</v>
      </c>
      <c r="B72" s="5" t="n">
        <v>9150</v>
      </c>
      <c r="C72" s="5" t="s">
        <v>187</v>
      </c>
      <c r="D72" s="14" t="n">
        <v>45982</v>
      </c>
      <c r="E72" s="15" t="n">
        <v>-4.46</v>
      </c>
      <c r="F72" s="5" t="s">
        <v>247</v>
      </c>
      <c r="G72" s="5" t="s">
        <v>178</v>
      </c>
      <c r="H72" s="5" t="s">
        <v>189</v>
      </c>
      <c r="I72" s="5" t="s">
        <v>194</v>
      </c>
      <c r="J72" s="5" t="s">
        <v>197</v>
      </c>
      <c r="K72" s="16" t="n">
        <v>-165</v>
      </c>
      <c r="L72" s="5" t="s">
        <v>192</v>
      </c>
      <c r="M72" s="17" t="n">
        <v>36.9795800562811</v>
      </c>
      <c r="N72" s="3" t="str">
        <f aca="false">IF(OR(K72="",M72=""),"",IF(C72="STATS_ONLY","stats",IF(ROUND(K72/M72,2)=E72,"OK","CHECK")))</f>
        <v>OK</v>
      </c>
      <c r="O72" s="3" t="str">
        <f aca="false">TEXT(D72,"yyyy-mm")</f>
        <v>2025-11</v>
      </c>
      <c r="P72" s="13"/>
    </row>
    <row r="73" customFormat="false" ht="15" hidden="false" customHeight="false" outlineLevel="0" collapsed="false">
      <c r="A73" s="5" t="s">
        <v>28</v>
      </c>
      <c r="B73" s="5" t="n">
        <v>9151</v>
      </c>
      <c r="C73" s="5" t="s">
        <v>187</v>
      </c>
      <c r="D73" s="14" t="n">
        <v>45982</v>
      </c>
      <c r="E73" s="15" t="n">
        <v>-4.19</v>
      </c>
      <c r="F73" s="5" t="s">
        <v>234</v>
      </c>
      <c r="G73" s="5" t="s">
        <v>178</v>
      </c>
      <c r="H73" s="5" t="s">
        <v>189</v>
      </c>
      <c r="I73" s="5" t="s">
        <v>194</v>
      </c>
      <c r="J73" s="5" t="s">
        <v>235</v>
      </c>
      <c r="K73" s="16" t="n">
        <v>-155</v>
      </c>
      <c r="L73" s="5" t="s">
        <v>192</v>
      </c>
      <c r="M73" s="17" t="n">
        <v>36.9795800562811</v>
      </c>
      <c r="N73" s="3" t="str">
        <f aca="false">IF(OR(K73="",M73=""),"",IF(C73="STATS_ONLY","stats",IF(ROUND(K73/M73,2)=E73,"OK","CHECK")))</f>
        <v>OK</v>
      </c>
      <c r="O73" s="3" t="str">
        <f aca="false">TEXT(D73,"yyyy-mm")</f>
        <v>2025-11</v>
      </c>
      <c r="P73" s="13"/>
    </row>
    <row r="74" customFormat="false" ht="15" hidden="false" customHeight="false" outlineLevel="0" collapsed="false">
      <c r="A74" s="5" t="s">
        <v>28</v>
      </c>
      <c r="B74" s="5" t="n">
        <v>9152</v>
      </c>
      <c r="C74" s="5" t="s">
        <v>187</v>
      </c>
      <c r="D74" s="14" t="n">
        <v>45983</v>
      </c>
      <c r="E74" s="15" t="n">
        <v>-2.97</v>
      </c>
      <c r="F74" s="5" t="s">
        <v>232</v>
      </c>
      <c r="G74" s="5" t="s">
        <v>178</v>
      </c>
      <c r="H74" s="5" t="s">
        <v>189</v>
      </c>
      <c r="I74" s="5" t="s">
        <v>194</v>
      </c>
      <c r="J74" s="5" t="s">
        <v>209</v>
      </c>
      <c r="K74" s="16" t="n">
        <v>-110</v>
      </c>
      <c r="L74" s="5" t="s">
        <v>192</v>
      </c>
      <c r="M74" s="17" t="n">
        <v>36.9795800562811</v>
      </c>
      <c r="N74" s="3" t="str">
        <f aca="false">IF(OR(K74="",M74=""),"",IF(C74="STATS_ONLY","stats",IF(ROUND(K74/M74,2)=E74,"OK","CHECK")))</f>
        <v>OK</v>
      </c>
      <c r="O74" s="3" t="str">
        <f aca="false">TEXT(D74,"yyyy-mm")</f>
        <v>2025-11</v>
      </c>
      <c r="P74" s="13"/>
    </row>
    <row r="75" customFormat="false" ht="15" hidden="false" customHeight="false" outlineLevel="0" collapsed="false">
      <c r="A75" s="5" t="s">
        <v>28</v>
      </c>
      <c r="B75" s="5" t="n">
        <v>9153</v>
      </c>
      <c r="C75" s="5" t="s">
        <v>187</v>
      </c>
      <c r="D75" s="14" t="n">
        <v>45983</v>
      </c>
      <c r="E75" s="15" t="n">
        <v>-1.22</v>
      </c>
      <c r="F75" s="5" t="s">
        <v>248</v>
      </c>
      <c r="G75" s="5" t="s">
        <v>178</v>
      </c>
      <c r="H75" s="5" t="s">
        <v>189</v>
      </c>
      <c r="I75" s="5" t="s">
        <v>194</v>
      </c>
      <c r="J75" s="5" t="s">
        <v>181</v>
      </c>
      <c r="K75" s="16" t="n">
        <v>-45</v>
      </c>
      <c r="L75" s="5" t="s">
        <v>192</v>
      </c>
      <c r="M75" s="17" t="n">
        <v>36.9795800562811</v>
      </c>
      <c r="N75" s="3" t="str">
        <f aca="false">IF(OR(K75="",M75=""),"",IF(C75="STATS_ONLY","stats",IF(ROUND(K75/M75,2)=E75,"OK","CHECK")))</f>
        <v>OK</v>
      </c>
      <c r="O75" s="3" t="str">
        <f aca="false">TEXT(D75,"yyyy-mm")</f>
        <v>2025-11</v>
      </c>
      <c r="P75" s="13"/>
    </row>
    <row r="76" customFormat="false" ht="15" hidden="false" customHeight="false" outlineLevel="0" collapsed="false">
      <c r="A76" s="5" t="s">
        <v>28</v>
      </c>
      <c r="B76" s="5" t="n">
        <v>9154</v>
      </c>
      <c r="C76" s="5" t="s">
        <v>187</v>
      </c>
      <c r="D76" s="14" t="n">
        <v>45984</v>
      </c>
      <c r="E76" s="15" t="n">
        <v>-2.84</v>
      </c>
      <c r="F76" s="5" t="s">
        <v>227</v>
      </c>
      <c r="G76" s="5" t="s">
        <v>178</v>
      </c>
      <c r="H76" s="5" t="s">
        <v>189</v>
      </c>
      <c r="I76" s="5" t="s">
        <v>194</v>
      </c>
      <c r="J76" s="5" t="s">
        <v>195</v>
      </c>
      <c r="K76" s="16" t="n">
        <v>-105</v>
      </c>
      <c r="L76" s="5" t="s">
        <v>192</v>
      </c>
      <c r="M76" s="17" t="n">
        <v>36.9795800562811</v>
      </c>
      <c r="N76" s="3" t="str">
        <f aca="false">IF(OR(K76="",M76=""),"",IF(C76="STATS_ONLY","stats",IF(ROUND(K76/M76,2)=E76,"OK","CHECK")))</f>
        <v>OK</v>
      </c>
      <c r="O76" s="3" t="str">
        <f aca="false">TEXT(D76,"yyyy-mm")</f>
        <v>2025-11</v>
      </c>
      <c r="P76" s="13"/>
    </row>
    <row r="77" customFormat="false" ht="15" hidden="false" customHeight="false" outlineLevel="0" collapsed="false">
      <c r="A77" s="5" t="s">
        <v>28</v>
      </c>
      <c r="B77" s="5" t="n">
        <v>9155</v>
      </c>
      <c r="C77" s="5" t="s">
        <v>187</v>
      </c>
      <c r="D77" s="14" t="n">
        <v>45984</v>
      </c>
      <c r="E77" s="15" t="n">
        <v>-3.25</v>
      </c>
      <c r="F77" s="5" t="s">
        <v>217</v>
      </c>
      <c r="G77" s="5" t="s">
        <v>178</v>
      </c>
      <c r="H77" s="5" t="s">
        <v>189</v>
      </c>
      <c r="I77" s="5" t="s">
        <v>194</v>
      </c>
      <c r="J77" s="5" t="s">
        <v>209</v>
      </c>
      <c r="K77" s="16" t="n">
        <v>-120</v>
      </c>
      <c r="L77" s="5" t="s">
        <v>192</v>
      </c>
      <c r="M77" s="17" t="n">
        <v>36.9795800562811</v>
      </c>
      <c r="N77" s="3" t="str">
        <f aca="false">IF(OR(K77="",M77=""),"",IF(C77="STATS_ONLY","stats",IF(ROUND(K77/M77,2)=E77,"OK","CHECK")))</f>
        <v>OK</v>
      </c>
      <c r="O77" s="3" t="str">
        <f aca="false">TEXT(D77,"yyyy-mm")</f>
        <v>2025-11</v>
      </c>
      <c r="P77" s="13"/>
    </row>
    <row r="78" customFormat="false" ht="15" hidden="false" customHeight="false" outlineLevel="0" collapsed="false">
      <c r="A78" s="5" t="s">
        <v>28</v>
      </c>
      <c r="B78" s="5" t="n">
        <v>9156</v>
      </c>
      <c r="C78" s="5" t="s">
        <v>187</v>
      </c>
      <c r="D78" s="14" t="n">
        <v>45984</v>
      </c>
      <c r="E78" s="15" t="n">
        <v>-3.38</v>
      </c>
      <c r="F78" s="5" t="s">
        <v>225</v>
      </c>
      <c r="G78" s="5" t="s">
        <v>178</v>
      </c>
      <c r="H78" s="5" t="s">
        <v>189</v>
      </c>
      <c r="I78" s="5" t="s">
        <v>194</v>
      </c>
      <c r="J78" s="5" t="s">
        <v>197</v>
      </c>
      <c r="K78" s="16" t="n">
        <v>-125</v>
      </c>
      <c r="L78" s="5" t="s">
        <v>192</v>
      </c>
      <c r="M78" s="17" t="n">
        <v>36.9795800562811</v>
      </c>
      <c r="N78" s="3" t="str">
        <f aca="false">IF(OR(K78="",M78=""),"",IF(C78="STATS_ONLY","stats",IF(ROUND(K78/M78,2)=E78,"OK","CHECK")))</f>
        <v>OK</v>
      </c>
      <c r="O78" s="3" t="str">
        <f aca="false">TEXT(D78,"yyyy-mm")</f>
        <v>2025-11</v>
      </c>
      <c r="P78" s="13"/>
    </row>
    <row r="79" customFormat="false" ht="15" hidden="false" customHeight="false" outlineLevel="0" collapsed="false">
      <c r="A79" s="5" t="s">
        <v>28</v>
      </c>
      <c r="B79" s="5" t="n">
        <v>9157</v>
      </c>
      <c r="C79" s="5" t="s">
        <v>187</v>
      </c>
      <c r="D79" s="14" t="n">
        <v>45984</v>
      </c>
      <c r="E79" s="15" t="n">
        <v>-7.44</v>
      </c>
      <c r="F79" s="5" t="s">
        <v>236</v>
      </c>
      <c r="G79" s="5" t="s">
        <v>178</v>
      </c>
      <c r="H79" s="5" t="s">
        <v>189</v>
      </c>
      <c r="I79" s="5" t="s">
        <v>194</v>
      </c>
      <c r="J79" s="5" t="s">
        <v>237</v>
      </c>
      <c r="K79" s="16" t="n">
        <v>-275</v>
      </c>
      <c r="L79" s="5" t="s">
        <v>192</v>
      </c>
      <c r="M79" s="17" t="n">
        <v>36.9795800562811</v>
      </c>
      <c r="N79" s="3" t="str">
        <f aca="false">IF(OR(K79="",M79=""),"",IF(C79="STATS_ONLY","stats",IF(ROUND(K79/M79,2)=E79,"OK","CHECK")))</f>
        <v>OK</v>
      </c>
      <c r="O79" s="3" t="str">
        <f aca="false">TEXT(D79,"yyyy-mm")</f>
        <v>2025-11</v>
      </c>
      <c r="P79" s="13"/>
    </row>
    <row r="80" customFormat="false" ht="15" hidden="false" customHeight="false" outlineLevel="0" collapsed="false">
      <c r="A80" s="5" t="s">
        <v>28</v>
      </c>
      <c r="B80" s="5" t="n">
        <v>9594</v>
      </c>
      <c r="C80" s="5" t="s">
        <v>152</v>
      </c>
      <c r="D80" s="14" t="n">
        <v>45984</v>
      </c>
      <c r="E80" s="15" t="n">
        <v>-7</v>
      </c>
      <c r="F80" s="5" t="s">
        <v>249</v>
      </c>
      <c r="G80" s="5" t="s">
        <v>163</v>
      </c>
      <c r="H80" s="5" t="s">
        <v>164</v>
      </c>
      <c r="I80" s="5" t="s">
        <v>250</v>
      </c>
      <c r="J80" s="5"/>
      <c r="K80" s="16"/>
      <c r="L80" s="5"/>
      <c r="M80" s="17"/>
      <c r="N80" s="3" t="str">
        <f aca="false">IF(OR(K80="",M80=""),"",IF(C80="STATS_ONLY","stats",IF(ROUND(K80/M80,2)=E80,"OK","CHECK")))</f>
        <v/>
      </c>
      <c r="O80" s="3" t="str">
        <f aca="false">TEXT(D80,"yyyy-mm")</f>
        <v>2025-11</v>
      </c>
      <c r="P80" s="13"/>
    </row>
    <row r="81" customFormat="false" ht="15" hidden="false" customHeight="false" outlineLevel="0" collapsed="false">
      <c r="A81" s="5" t="s">
        <v>28</v>
      </c>
      <c r="B81" s="5" t="n">
        <v>9158</v>
      </c>
      <c r="C81" s="5" t="s">
        <v>187</v>
      </c>
      <c r="D81" s="14" t="n">
        <v>45985</v>
      </c>
      <c r="E81" s="15" t="n">
        <v>-3.11</v>
      </c>
      <c r="F81" s="5" t="s">
        <v>246</v>
      </c>
      <c r="G81" s="5" t="s">
        <v>178</v>
      </c>
      <c r="H81" s="5" t="s">
        <v>189</v>
      </c>
      <c r="I81" s="5" t="s">
        <v>194</v>
      </c>
      <c r="J81" s="5" t="s">
        <v>209</v>
      </c>
      <c r="K81" s="16" t="n">
        <v>-115</v>
      </c>
      <c r="L81" s="5" t="s">
        <v>192</v>
      </c>
      <c r="M81" s="17" t="n">
        <v>36.9795800562811</v>
      </c>
      <c r="N81" s="3" t="str">
        <f aca="false">IF(OR(K81="",M81=""),"",IF(C81="STATS_ONLY","stats",IF(ROUND(K81/M81,2)=E81,"OK","CHECK")))</f>
        <v>OK</v>
      </c>
      <c r="O81" s="3" t="str">
        <f aca="false">TEXT(D81,"yyyy-mm")</f>
        <v>2025-11</v>
      </c>
      <c r="P81" s="13"/>
    </row>
    <row r="82" customFormat="false" ht="15" hidden="false" customHeight="false" outlineLevel="0" collapsed="false">
      <c r="A82" s="5" t="s">
        <v>28</v>
      </c>
      <c r="B82" s="5" t="n">
        <v>9159</v>
      </c>
      <c r="C82" s="5" t="s">
        <v>187</v>
      </c>
      <c r="D82" s="14" t="n">
        <v>45986</v>
      </c>
      <c r="E82" s="15" t="n">
        <v>-2.7</v>
      </c>
      <c r="F82" s="5" t="s">
        <v>227</v>
      </c>
      <c r="G82" s="5" t="s">
        <v>178</v>
      </c>
      <c r="H82" s="5" t="s">
        <v>189</v>
      </c>
      <c r="I82" s="5" t="s">
        <v>194</v>
      </c>
      <c r="J82" s="5" t="s">
        <v>195</v>
      </c>
      <c r="K82" s="16" t="n">
        <v>-100</v>
      </c>
      <c r="L82" s="5" t="s">
        <v>192</v>
      </c>
      <c r="M82" s="17" t="n">
        <v>36.9795800562811</v>
      </c>
      <c r="N82" s="3" t="str">
        <f aca="false">IF(OR(K82="",M82=""),"",IF(C82="STATS_ONLY","stats",IF(ROUND(K82/M82,2)=E82,"OK","CHECK")))</f>
        <v>OK</v>
      </c>
      <c r="O82" s="3" t="str">
        <f aca="false">TEXT(D82,"yyyy-mm")</f>
        <v>2025-11</v>
      </c>
      <c r="P82" s="13"/>
    </row>
    <row r="83" customFormat="false" ht="15" hidden="false" customHeight="false" outlineLevel="0" collapsed="false">
      <c r="A83" s="5" t="s">
        <v>28</v>
      </c>
      <c r="B83" s="5" t="n">
        <v>9160</v>
      </c>
      <c r="C83" s="5" t="s">
        <v>187</v>
      </c>
      <c r="D83" s="14" t="n">
        <v>45986</v>
      </c>
      <c r="E83" s="15" t="n">
        <v>-2.03</v>
      </c>
      <c r="F83" s="5" t="s">
        <v>217</v>
      </c>
      <c r="G83" s="5" t="s">
        <v>178</v>
      </c>
      <c r="H83" s="5" t="s">
        <v>189</v>
      </c>
      <c r="I83" s="5" t="s">
        <v>194</v>
      </c>
      <c r="J83" s="5" t="s">
        <v>209</v>
      </c>
      <c r="K83" s="16" t="n">
        <v>-75</v>
      </c>
      <c r="L83" s="5" t="s">
        <v>192</v>
      </c>
      <c r="M83" s="17" t="n">
        <v>36.9795800562811</v>
      </c>
      <c r="N83" s="3" t="str">
        <f aca="false">IF(OR(K83="",M83=""),"",IF(C83="STATS_ONLY","stats",IF(ROUND(K83/M83,2)=E83,"OK","CHECK")))</f>
        <v>OK</v>
      </c>
      <c r="O83" s="3" t="str">
        <f aca="false">TEXT(D83,"yyyy-mm")</f>
        <v>2025-11</v>
      </c>
      <c r="P83" s="13"/>
    </row>
    <row r="84" customFormat="false" ht="15" hidden="false" customHeight="false" outlineLevel="0" collapsed="false">
      <c r="A84" s="5" t="s">
        <v>28</v>
      </c>
      <c r="B84" s="5" t="n">
        <v>9161</v>
      </c>
      <c r="C84" s="5" t="s">
        <v>187</v>
      </c>
      <c r="D84" s="14" t="n">
        <v>45986</v>
      </c>
      <c r="E84" s="15" t="n">
        <v>-4.33</v>
      </c>
      <c r="F84" s="5" t="s">
        <v>247</v>
      </c>
      <c r="G84" s="5" t="s">
        <v>178</v>
      </c>
      <c r="H84" s="5" t="s">
        <v>189</v>
      </c>
      <c r="I84" s="5" t="s">
        <v>194</v>
      </c>
      <c r="J84" s="5" t="s">
        <v>197</v>
      </c>
      <c r="K84" s="16" t="n">
        <v>-160</v>
      </c>
      <c r="L84" s="5" t="s">
        <v>192</v>
      </c>
      <c r="M84" s="17" t="n">
        <v>36.9795800562811</v>
      </c>
      <c r="N84" s="3" t="str">
        <f aca="false">IF(OR(K84="",M84=""),"",IF(C84="STATS_ONLY","stats",IF(ROUND(K84/M84,2)=E84,"OK","CHECK")))</f>
        <v>OK</v>
      </c>
      <c r="O84" s="3" t="str">
        <f aca="false">TEXT(D84,"yyyy-mm")</f>
        <v>2025-11</v>
      </c>
      <c r="P84" s="13"/>
    </row>
    <row r="85" customFormat="false" ht="15" hidden="false" customHeight="false" outlineLevel="0" collapsed="false">
      <c r="A85" s="5" t="s">
        <v>28</v>
      </c>
      <c r="B85" s="5" t="n">
        <v>9162</v>
      </c>
      <c r="C85" s="5" t="s">
        <v>187</v>
      </c>
      <c r="D85" s="14" t="n">
        <v>45986</v>
      </c>
      <c r="E85" s="15" t="n">
        <v>-1.76</v>
      </c>
      <c r="F85" s="5" t="s">
        <v>211</v>
      </c>
      <c r="G85" s="5" t="s">
        <v>178</v>
      </c>
      <c r="H85" s="5" t="s">
        <v>189</v>
      </c>
      <c r="I85" s="5" t="s">
        <v>194</v>
      </c>
      <c r="J85" s="5" t="s">
        <v>199</v>
      </c>
      <c r="K85" s="16" t="n">
        <v>-65</v>
      </c>
      <c r="L85" s="5" t="s">
        <v>192</v>
      </c>
      <c r="M85" s="17" t="n">
        <v>36.9795800562811</v>
      </c>
      <c r="N85" s="3" t="str">
        <f aca="false">IF(OR(K85="",M85=""),"",IF(C85="STATS_ONLY","stats",IF(ROUND(K85/M85,2)=E85,"OK","CHECK")))</f>
        <v>OK</v>
      </c>
      <c r="O85" s="3" t="str">
        <f aca="false">TEXT(D85,"yyyy-mm")</f>
        <v>2025-11</v>
      </c>
      <c r="P85" s="13"/>
    </row>
    <row r="86" customFormat="false" ht="15" hidden="false" customHeight="false" outlineLevel="0" collapsed="false">
      <c r="A86" s="5" t="s">
        <v>28</v>
      </c>
      <c r="B86" s="5" t="n">
        <v>9163</v>
      </c>
      <c r="C86" s="5" t="s">
        <v>187</v>
      </c>
      <c r="D86" s="14" t="n">
        <v>45986</v>
      </c>
      <c r="E86" s="15" t="n">
        <v>-1.89</v>
      </c>
      <c r="F86" s="5" t="s">
        <v>251</v>
      </c>
      <c r="G86" s="5" t="s">
        <v>178</v>
      </c>
      <c r="H86" s="5" t="s">
        <v>189</v>
      </c>
      <c r="I86" s="5" t="s">
        <v>194</v>
      </c>
      <c r="J86" s="5" t="s">
        <v>252</v>
      </c>
      <c r="K86" s="16" t="n">
        <v>-70</v>
      </c>
      <c r="L86" s="5" t="s">
        <v>192</v>
      </c>
      <c r="M86" s="17" t="n">
        <v>36.9795800562811</v>
      </c>
      <c r="N86" s="3" t="str">
        <f aca="false">IF(OR(K86="",M86=""),"",IF(C86="STATS_ONLY","stats",IF(ROUND(K86/M86,2)=E86,"OK","CHECK")))</f>
        <v>OK</v>
      </c>
      <c r="O86" s="3" t="str">
        <f aca="false">TEXT(D86,"yyyy-mm")</f>
        <v>2025-11</v>
      </c>
      <c r="P86" s="13"/>
    </row>
    <row r="87" customFormat="false" ht="15" hidden="false" customHeight="false" outlineLevel="0" collapsed="false">
      <c r="A87" s="5" t="s">
        <v>28</v>
      </c>
      <c r="B87" s="5" t="n">
        <v>9164</v>
      </c>
      <c r="C87" s="5" t="s">
        <v>187</v>
      </c>
      <c r="D87" s="14" t="n">
        <v>45987</v>
      </c>
      <c r="E87" s="15" t="n">
        <v>-2.16</v>
      </c>
      <c r="F87" s="5" t="s">
        <v>193</v>
      </c>
      <c r="G87" s="5" t="s">
        <v>178</v>
      </c>
      <c r="H87" s="5" t="s">
        <v>189</v>
      </c>
      <c r="I87" s="5" t="s">
        <v>194</v>
      </c>
      <c r="J87" s="5" t="s">
        <v>195</v>
      </c>
      <c r="K87" s="16" t="n">
        <v>-80</v>
      </c>
      <c r="L87" s="5" t="s">
        <v>192</v>
      </c>
      <c r="M87" s="17" t="n">
        <v>36.9795800562811</v>
      </c>
      <c r="N87" s="3" t="str">
        <f aca="false">IF(OR(K87="",M87=""),"",IF(C87="STATS_ONLY","stats",IF(ROUND(K87/M87,2)=E87,"OK","CHECK")))</f>
        <v>OK</v>
      </c>
      <c r="O87" s="3" t="str">
        <f aca="false">TEXT(D87,"yyyy-mm")</f>
        <v>2025-11</v>
      </c>
      <c r="P87" s="13"/>
    </row>
    <row r="88" customFormat="false" ht="15" hidden="false" customHeight="false" outlineLevel="0" collapsed="false">
      <c r="A88" s="5" t="s">
        <v>28</v>
      </c>
      <c r="B88" s="5" t="n">
        <v>9165</v>
      </c>
      <c r="C88" s="5" t="s">
        <v>187</v>
      </c>
      <c r="D88" s="14" t="n">
        <v>45987</v>
      </c>
      <c r="E88" s="15" t="n">
        <v>-2.03</v>
      </c>
      <c r="F88" s="5" t="s">
        <v>208</v>
      </c>
      <c r="G88" s="5" t="s">
        <v>178</v>
      </c>
      <c r="H88" s="5" t="s">
        <v>189</v>
      </c>
      <c r="I88" s="5" t="s">
        <v>194</v>
      </c>
      <c r="J88" s="5" t="s">
        <v>209</v>
      </c>
      <c r="K88" s="16" t="n">
        <v>-75</v>
      </c>
      <c r="L88" s="5" t="s">
        <v>192</v>
      </c>
      <c r="M88" s="17" t="n">
        <v>36.9795800562811</v>
      </c>
      <c r="N88" s="3" t="str">
        <f aca="false">IF(OR(K88="",M88=""),"",IF(C88="STATS_ONLY","stats",IF(ROUND(K88/M88,2)=E88,"OK","CHECK")))</f>
        <v>OK</v>
      </c>
      <c r="O88" s="3" t="str">
        <f aca="false">TEXT(D88,"yyyy-mm")</f>
        <v>2025-11</v>
      </c>
      <c r="P88" s="13"/>
    </row>
    <row r="89" customFormat="false" ht="15" hidden="false" customHeight="false" outlineLevel="0" collapsed="false">
      <c r="A89" s="5" t="s">
        <v>28</v>
      </c>
      <c r="B89" s="5" t="n">
        <v>9166</v>
      </c>
      <c r="C89" s="5" t="s">
        <v>187</v>
      </c>
      <c r="D89" s="14" t="n">
        <v>45987</v>
      </c>
      <c r="E89" s="15" t="n">
        <v>-2.16</v>
      </c>
      <c r="F89" s="5" t="s">
        <v>198</v>
      </c>
      <c r="G89" s="5" t="s">
        <v>178</v>
      </c>
      <c r="H89" s="5" t="s">
        <v>189</v>
      </c>
      <c r="I89" s="5" t="s">
        <v>194</v>
      </c>
      <c r="J89" s="5" t="s">
        <v>199</v>
      </c>
      <c r="K89" s="16" t="n">
        <v>-80</v>
      </c>
      <c r="L89" s="5" t="s">
        <v>192</v>
      </c>
      <c r="M89" s="17" t="n">
        <v>36.9795800562811</v>
      </c>
      <c r="N89" s="3" t="str">
        <f aca="false">IF(OR(K89="",M89=""),"",IF(C89="STATS_ONLY","stats",IF(ROUND(K89/M89,2)=E89,"OK","CHECK")))</f>
        <v>OK</v>
      </c>
      <c r="O89" s="3" t="str">
        <f aca="false">TEXT(D89,"yyyy-mm")</f>
        <v>2025-11</v>
      </c>
      <c r="P89" s="13"/>
    </row>
    <row r="90" customFormat="false" ht="15" hidden="false" customHeight="false" outlineLevel="0" collapsed="false">
      <c r="A90" s="5" t="s">
        <v>28</v>
      </c>
      <c r="B90" s="5" t="n">
        <v>9167</v>
      </c>
      <c r="C90" s="5" t="s">
        <v>187</v>
      </c>
      <c r="D90" s="14" t="n">
        <v>45987</v>
      </c>
      <c r="E90" s="15" t="n">
        <v>-1.22</v>
      </c>
      <c r="F90" s="5" t="s">
        <v>212</v>
      </c>
      <c r="G90" s="5" t="s">
        <v>178</v>
      </c>
      <c r="H90" s="5" t="s">
        <v>189</v>
      </c>
      <c r="I90" s="5" t="s">
        <v>194</v>
      </c>
      <c r="J90" s="5" t="s">
        <v>181</v>
      </c>
      <c r="K90" s="16" t="n">
        <v>-45</v>
      </c>
      <c r="L90" s="5" t="s">
        <v>192</v>
      </c>
      <c r="M90" s="17" t="n">
        <v>36.9795800562811</v>
      </c>
      <c r="N90" s="3" t="str">
        <f aca="false">IF(OR(K90="",M90=""),"",IF(C90="STATS_ONLY","stats",IF(ROUND(K90/M90,2)=E90,"OK","CHECK")))</f>
        <v>OK</v>
      </c>
      <c r="O90" s="3" t="str">
        <f aca="false">TEXT(D90,"yyyy-mm")</f>
        <v>2025-11</v>
      </c>
      <c r="P90" s="13"/>
    </row>
    <row r="91" customFormat="false" ht="15" hidden="false" customHeight="false" outlineLevel="0" collapsed="false">
      <c r="A91" s="5" t="s">
        <v>28</v>
      </c>
      <c r="B91" s="5" t="n">
        <v>9168</v>
      </c>
      <c r="C91" s="5" t="s">
        <v>187</v>
      </c>
      <c r="D91" s="14" t="n">
        <v>45988</v>
      </c>
      <c r="E91" s="15" t="n">
        <v>-1.76</v>
      </c>
      <c r="F91" s="5" t="s">
        <v>217</v>
      </c>
      <c r="G91" s="5" t="s">
        <v>178</v>
      </c>
      <c r="H91" s="5" t="s">
        <v>189</v>
      </c>
      <c r="I91" s="5" t="s">
        <v>194</v>
      </c>
      <c r="J91" s="5" t="s">
        <v>209</v>
      </c>
      <c r="K91" s="16" t="n">
        <v>-65</v>
      </c>
      <c r="L91" s="5" t="s">
        <v>192</v>
      </c>
      <c r="M91" s="17" t="n">
        <v>36.9795800562811</v>
      </c>
      <c r="N91" s="3" t="str">
        <f aca="false">IF(OR(K91="",M91=""),"",IF(C91="STATS_ONLY","stats",IF(ROUND(K91/M91,2)=E91,"OK","CHECK")))</f>
        <v>OK</v>
      </c>
      <c r="O91" s="3" t="str">
        <f aca="false">TEXT(D91,"yyyy-mm")</f>
        <v>2025-11</v>
      </c>
      <c r="P91" s="13"/>
    </row>
    <row r="92" customFormat="false" ht="15" hidden="false" customHeight="false" outlineLevel="0" collapsed="false">
      <c r="A92" s="5" t="s">
        <v>28</v>
      </c>
      <c r="B92" s="5" t="n">
        <v>9169</v>
      </c>
      <c r="C92" s="5" t="s">
        <v>187</v>
      </c>
      <c r="D92" s="14" t="n">
        <v>45988</v>
      </c>
      <c r="E92" s="15" t="n">
        <v>-3.65</v>
      </c>
      <c r="F92" s="5" t="s">
        <v>247</v>
      </c>
      <c r="G92" s="5" t="s">
        <v>178</v>
      </c>
      <c r="H92" s="5" t="s">
        <v>189</v>
      </c>
      <c r="I92" s="5" t="s">
        <v>194</v>
      </c>
      <c r="J92" s="5" t="s">
        <v>197</v>
      </c>
      <c r="K92" s="16" t="n">
        <v>-135</v>
      </c>
      <c r="L92" s="5" t="s">
        <v>192</v>
      </c>
      <c r="M92" s="17" t="n">
        <v>36.9795800562811</v>
      </c>
      <c r="N92" s="3" t="str">
        <f aca="false">IF(OR(K92="",M92=""),"",IF(C92="STATS_ONLY","stats",IF(ROUND(K92/M92,2)=E92,"OK","CHECK")))</f>
        <v>OK</v>
      </c>
      <c r="O92" s="3" t="str">
        <f aca="false">TEXT(D92,"yyyy-mm")</f>
        <v>2025-11</v>
      </c>
      <c r="P92" s="13"/>
    </row>
    <row r="93" customFormat="false" ht="15" hidden="false" customHeight="false" outlineLevel="0" collapsed="false">
      <c r="A93" s="5" t="s">
        <v>28</v>
      </c>
      <c r="B93" s="5" t="n">
        <v>9170</v>
      </c>
      <c r="C93" s="5" t="s">
        <v>187</v>
      </c>
      <c r="D93" s="14" t="n">
        <v>45988</v>
      </c>
      <c r="E93" s="15" t="n">
        <v>-2.7</v>
      </c>
      <c r="F93" s="5" t="s">
        <v>251</v>
      </c>
      <c r="G93" s="5" t="s">
        <v>178</v>
      </c>
      <c r="H93" s="5" t="s">
        <v>189</v>
      </c>
      <c r="I93" s="5" t="s">
        <v>194</v>
      </c>
      <c r="J93" s="5" t="s">
        <v>252</v>
      </c>
      <c r="K93" s="16" t="n">
        <v>-100</v>
      </c>
      <c r="L93" s="5" t="s">
        <v>192</v>
      </c>
      <c r="M93" s="17" t="n">
        <v>36.9795800562811</v>
      </c>
      <c r="N93" s="3" t="str">
        <f aca="false">IF(OR(K93="",M93=""),"",IF(C93="STATS_ONLY","stats",IF(ROUND(K93/M93,2)=E93,"OK","CHECK")))</f>
        <v>OK</v>
      </c>
      <c r="O93" s="3" t="str">
        <f aca="false">TEXT(D93,"yyyy-mm")</f>
        <v>2025-11</v>
      </c>
      <c r="P93" s="13"/>
    </row>
    <row r="94" customFormat="false" ht="15" hidden="false" customHeight="false" outlineLevel="0" collapsed="false">
      <c r="A94" s="5" t="s">
        <v>28</v>
      </c>
      <c r="B94" s="5" t="n">
        <v>9171</v>
      </c>
      <c r="C94" s="5" t="s">
        <v>187</v>
      </c>
      <c r="D94" s="14" t="n">
        <v>45988</v>
      </c>
      <c r="E94" s="15" t="n">
        <v>-4.19</v>
      </c>
      <c r="F94" s="5" t="s">
        <v>234</v>
      </c>
      <c r="G94" s="5" t="s">
        <v>178</v>
      </c>
      <c r="H94" s="5" t="s">
        <v>189</v>
      </c>
      <c r="I94" s="5" t="s">
        <v>194</v>
      </c>
      <c r="J94" s="5" t="s">
        <v>235</v>
      </c>
      <c r="K94" s="16" t="n">
        <v>-155</v>
      </c>
      <c r="L94" s="5" t="s">
        <v>192</v>
      </c>
      <c r="M94" s="17" t="n">
        <v>36.9795800562811</v>
      </c>
      <c r="N94" s="3" t="str">
        <f aca="false">IF(OR(K94="",M94=""),"",IF(C94="STATS_ONLY","stats",IF(ROUND(K94/M94,2)=E94,"OK","CHECK")))</f>
        <v>OK</v>
      </c>
      <c r="O94" s="3" t="str">
        <f aca="false">TEXT(D94,"yyyy-mm")</f>
        <v>2025-11</v>
      </c>
      <c r="P94" s="13"/>
    </row>
    <row r="95" customFormat="false" ht="15" hidden="false" customHeight="false" outlineLevel="0" collapsed="false">
      <c r="A95" s="5" t="s">
        <v>28</v>
      </c>
      <c r="B95" s="5" t="n">
        <v>9172</v>
      </c>
      <c r="C95" s="5" t="s">
        <v>187</v>
      </c>
      <c r="D95" s="14" t="n">
        <v>45989</v>
      </c>
      <c r="E95" s="15" t="n">
        <v>-1.89</v>
      </c>
      <c r="F95" s="5" t="s">
        <v>224</v>
      </c>
      <c r="G95" s="5" t="s">
        <v>178</v>
      </c>
      <c r="H95" s="5" t="s">
        <v>189</v>
      </c>
      <c r="I95" s="5" t="s">
        <v>194</v>
      </c>
      <c r="J95" s="5" t="s">
        <v>195</v>
      </c>
      <c r="K95" s="16" t="n">
        <v>-70</v>
      </c>
      <c r="L95" s="5" t="s">
        <v>192</v>
      </c>
      <c r="M95" s="17" t="n">
        <v>36.9795800562811</v>
      </c>
      <c r="N95" s="3" t="str">
        <f aca="false">IF(OR(K95="",M95=""),"",IF(C95="STATS_ONLY","stats",IF(ROUND(K95/M95,2)=E95,"OK","CHECK")))</f>
        <v>OK</v>
      </c>
      <c r="O95" s="3" t="str">
        <f aca="false">TEXT(D95,"yyyy-mm")</f>
        <v>2025-11</v>
      </c>
      <c r="P95" s="13"/>
    </row>
    <row r="96" customFormat="false" ht="15" hidden="false" customHeight="false" outlineLevel="0" collapsed="false">
      <c r="A96" s="5" t="s">
        <v>28</v>
      </c>
      <c r="B96" s="5" t="n">
        <v>9173</v>
      </c>
      <c r="C96" s="5" t="s">
        <v>187</v>
      </c>
      <c r="D96" s="14" t="n">
        <v>45989</v>
      </c>
      <c r="E96" s="15" t="n">
        <v>-2.97</v>
      </c>
      <c r="F96" s="5" t="s">
        <v>232</v>
      </c>
      <c r="G96" s="5" t="s">
        <v>178</v>
      </c>
      <c r="H96" s="5" t="s">
        <v>189</v>
      </c>
      <c r="I96" s="5" t="s">
        <v>194</v>
      </c>
      <c r="J96" s="5" t="s">
        <v>209</v>
      </c>
      <c r="K96" s="16" t="n">
        <v>-110</v>
      </c>
      <c r="L96" s="5" t="s">
        <v>192</v>
      </c>
      <c r="M96" s="17" t="n">
        <v>36.9795800562811</v>
      </c>
      <c r="N96" s="3" t="str">
        <f aca="false">IF(OR(K96="",M96=""),"",IF(C96="STATS_ONLY","stats",IF(ROUND(K96/M96,2)=E96,"OK","CHECK")))</f>
        <v>OK</v>
      </c>
      <c r="O96" s="3" t="str">
        <f aca="false">TEXT(D96,"yyyy-mm")</f>
        <v>2025-11</v>
      </c>
      <c r="P96" s="13"/>
    </row>
    <row r="97" customFormat="false" ht="15" hidden="false" customHeight="false" outlineLevel="0" collapsed="false">
      <c r="A97" s="5" t="s">
        <v>28</v>
      </c>
      <c r="B97" s="5" t="n">
        <v>9710</v>
      </c>
      <c r="C97" s="5" t="s">
        <v>152</v>
      </c>
      <c r="D97" s="14" t="n">
        <v>45989</v>
      </c>
      <c r="E97" s="15" t="n">
        <v>-142</v>
      </c>
      <c r="F97" s="5" t="s">
        <v>253</v>
      </c>
      <c r="G97" s="5" t="s">
        <v>167</v>
      </c>
      <c r="H97" s="5" t="s">
        <v>167</v>
      </c>
      <c r="I97" s="5" t="s">
        <v>168</v>
      </c>
      <c r="J97" s="5"/>
      <c r="K97" s="16"/>
      <c r="L97" s="5"/>
      <c r="M97" s="17"/>
      <c r="N97" s="3" t="str">
        <f aca="false">IF(OR(K97="",M97=""),"",IF(C97="STATS_ONLY","stats",IF(ROUND(K97/M97,2)=E97,"OK","CHECK")))</f>
        <v/>
      </c>
      <c r="O97" s="3" t="str">
        <f aca="false">TEXT(D97,"yyyy-mm")</f>
        <v>2025-11</v>
      </c>
      <c r="P97" s="13" t="s">
        <v>169</v>
      </c>
    </row>
    <row r="98" customFormat="false" ht="15" hidden="false" customHeight="false" outlineLevel="0" collapsed="false">
      <c r="A98" s="5" t="s">
        <v>28</v>
      </c>
      <c r="B98" s="5" t="n">
        <v>9710</v>
      </c>
      <c r="C98" s="5" t="s">
        <v>171</v>
      </c>
      <c r="D98" s="14" t="n">
        <v>45989</v>
      </c>
      <c r="E98" s="15" t="n">
        <v>142</v>
      </c>
      <c r="F98" s="5" t="s">
        <v>253</v>
      </c>
      <c r="G98" s="5" t="s">
        <v>167</v>
      </c>
      <c r="H98" s="5" t="s">
        <v>167</v>
      </c>
      <c r="I98" s="5" t="s">
        <v>168</v>
      </c>
      <c r="J98" s="5"/>
      <c r="K98" s="16"/>
      <c r="L98" s="5"/>
      <c r="M98" s="17"/>
      <c r="N98" s="3" t="str">
        <f aca="false">IF(OR(K98="",M98=""),"",IF(C98="STATS_ONLY","stats",IF(ROUND(K98/M98,2)=E98,"OK","CHECK")))</f>
        <v/>
      </c>
      <c r="O98" s="3" t="str">
        <f aca="false">TEXT(D98,"yyyy-mm")</f>
        <v>2025-11</v>
      </c>
      <c r="P98" s="13" t="s">
        <v>170</v>
      </c>
    </row>
    <row r="99" customFormat="false" ht="15" hidden="false" customHeight="false" outlineLevel="0" collapsed="false">
      <c r="A99" s="5" t="s">
        <v>28</v>
      </c>
      <c r="B99" s="5" t="n">
        <v>9174</v>
      </c>
      <c r="C99" s="5" t="s">
        <v>187</v>
      </c>
      <c r="D99" s="14" t="n">
        <v>45990</v>
      </c>
      <c r="E99" s="15" t="n">
        <v>-2.7</v>
      </c>
      <c r="F99" s="5" t="s">
        <v>232</v>
      </c>
      <c r="G99" s="5" t="s">
        <v>178</v>
      </c>
      <c r="H99" s="5" t="s">
        <v>189</v>
      </c>
      <c r="I99" s="5" t="s">
        <v>194</v>
      </c>
      <c r="J99" s="5" t="s">
        <v>209</v>
      </c>
      <c r="K99" s="16" t="n">
        <v>-100</v>
      </c>
      <c r="L99" s="5" t="s">
        <v>192</v>
      </c>
      <c r="M99" s="17" t="n">
        <v>36.9795800562811</v>
      </c>
      <c r="N99" s="3" t="str">
        <f aca="false">IF(OR(K99="",M99=""),"",IF(C99="STATS_ONLY","stats",IF(ROUND(K99/M99,2)=E99,"OK","CHECK")))</f>
        <v>OK</v>
      </c>
      <c r="O99" s="3" t="str">
        <f aca="false">TEXT(D99,"yyyy-mm")</f>
        <v>2025-11</v>
      </c>
      <c r="P99" s="13"/>
    </row>
    <row r="100" customFormat="false" ht="15" hidden="false" customHeight="false" outlineLevel="0" collapsed="false">
      <c r="A100" s="5" t="s">
        <v>28</v>
      </c>
      <c r="B100" s="5" t="n">
        <v>9175</v>
      </c>
      <c r="C100" s="5" t="s">
        <v>187</v>
      </c>
      <c r="D100" s="14" t="n">
        <v>45990</v>
      </c>
      <c r="E100" s="15" t="n">
        <v>-2.03</v>
      </c>
      <c r="F100" s="5" t="s">
        <v>211</v>
      </c>
      <c r="G100" s="5" t="s">
        <v>178</v>
      </c>
      <c r="H100" s="5" t="s">
        <v>189</v>
      </c>
      <c r="I100" s="5" t="s">
        <v>194</v>
      </c>
      <c r="J100" s="5" t="s">
        <v>199</v>
      </c>
      <c r="K100" s="16" t="n">
        <v>-75</v>
      </c>
      <c r="L100" s="5" t="s">
        <v>192</v>
      </c>
      <c r="M100" s="17" t="n">
        <v>36.9795800562811</v>
      </c>
      <c r="N100" s="3" t="str">
        <f aca="false">IF(OR(K100="",M100=""),"",IF(C100="STATS_ONLY","stats",IF(ROUND(K100/M100,2)=E100,"OK","CHECK")))</f>
        <v>OK</v>
      </c>
      <c r="O100" s="3" t="str">
        <f aca="false">TEXT(D100,"yyyy-mm")</f>
        <v>2025-11</v>
      </c>
      <c r="P100" s="13"/>
    </row>
    <row r="101" customFormat="false" ht="15" hidden="false" customHeight="false" outlineLevel="0" collapsed="false">
      <c r="A101" s="5" t="s">
        <v>28</v>
      </c>
      <c r="B101" s="5" t="n">
        <v>9176</v>
      </c>
      <c r="C101" s="5" t="s">
        <v>187</v>
      </c>
      <c r="D101" s="14" t="n">
        <v>45990</v>
      </c>
      <c r="E101" s="15" t="n">
        <v>-1.89</v>
      </c>
      <c r="F101" s="5" t="s">
        <v>248</v>
      </c>
      <c r="G101" s="5" t="s">
        <v>178</v>
      </c>
      <c r="H101" s="5" t="s">
        <v>189</v>
      </c>
      <c r="I101" s="5" t="s">
        <v>194</v>
      </c>
      <c r="J101" s="5" t="s">
        <v>181</v>
      </c>
      <c r="K101" s="16" t="n">
        <v>-70</v>
      </c>
      <c r="L101" s="5" t="s">
        <v>192</v>
      </c>
      <c r="M101" s="17" t="n">
        <v>36.9795800562811</v>
      </c>
      <c r="N101" s="3" t="str">
        <f aca="false">IF(OR(K101="",M101=""),"",IF(C101="STATS_ONLY","stats",IF(ROUND(K101/M101,2)=E101,"OK","CHECK")))</f>
        <v>OK</v>
      </c>
      <c r="O101" s="3" t="str">
        <f aca="false">TEXT(D101,"yyyy-mm")</f>
        <v>2025-11</v>
      </c>
      <c r="P101" s="13"/>
    </row>
    <row r="102" customFormat="false" ht="15" hidden="false" customHeight="false" outlineLevel="0" collapsed="false">
      <c r="A102" s="5" t="s">
        <v>28</v>
      </c>
      <c r="B102" s="5" t="n">
        <v>9177</v>
      </c>
      <c r="C102" s="5" t="s">
        <v>187</v>
      </c>
      <c r="D102" s="14" t="n">
        <v>45990</v>
      </c>
      <c r="E102" s="15" t="n">
        <v>-8.11</v>
      </c>
      <c r="F102" s="5" t="s">
        <v>236</v>
      </c>
      <c r="G102" s="5" t="s">
        <v>178</v>
      </c>
      <c r="H102" s="5" t="s">
        <v>189</v>
      </c>
      <c r="I102" s="5" t="s">
        <v>194</v>
      </c>
      <c r="J102" s="5" t="s">
        <v>237</v>
      </c>
      <c r="K102" s="16" t="n">
        <v>-300</v>
      </c>
      <c r="L102" s="5" t="s">
        <v>192</v>
      </c>
      <c r="M102" s="17" t="n">
        <v>36.9795800562811</v>
      </c>
      <c r="N102" s="3" t="str">
        <f aca="false">IF(OR(K102="",M102=""),"",IF(C102="STATS_ONLY","stats",IF(ROUND(K102/M102,2)=E102,"OK","CHECK")))</f>
        <v>OK</v>
      </c>
      <c r="O102" s="3" t="str">
        <f aca="false">TEXT(D102,"yyyy-mm")</f>
        <v>2025-11</v>
      </c>
      <c r="P102" s="13"/>
    </row>
    <row r="103" customFormat="false" ht="15" hidden="false" customHeight="false" outlineLevel="0" collapsed="false">
      <c r="A103" s="5" t="s">
        <v>28</v>
      </c>
      <c r="B103" s="5" t="n">
        <v>9178</v>
      </c>
      <c r="C103" s="5" t="s">
        <v>187</v>
      </c>
      <c r="D103" s="14" t="n">
        <v>45991</v>
      </c>
      <c r="E103" s="15" t="n">
        <v>-2.84</v>
      </c>
      <c r="F103" s="5" t="s">
        <v>232</v>
      </c>
      <c r="G103" s="5" t="s">
        <v>178</v>
      </c>
      <c r="H103" s="5" t="s">
        <v>189</v>
      </c>
      <c r="I103" s="5" t="s">
        <v>194</v>
      </c>
      <c r="J103" s="5" t="s">
        <v>209</v>
      </c>
      <c r="K103" s="16" t="n">
        <v>-105</v>
      </c>
      <c r="L103" s="5" t="s">
        <v>192</v>
      </c>
      <c r="M103" s="17" t="n">
        <v>36.9795800562811</v>
      </c>
      <c r="N103" s="3" t="str">
        <f aca="false">IF(OR(K103="",M103=""),"",IF(C103="STATS_ONLY","stats",IF(ROUND(K103/M103,2)=E103,"OK","CHECK")))</f>
        <v>OK</v>
      </c>
      <c r="O103" s="3" t="str">
        <f aca="false">TEXT(D103,"yyyy-mm")</f>
        <v>2025-11</v>
      </c>
      <c r="P103" s="13"/>
    </row>
    <row r="104" customFormat="false" ht="15" hidden="false" customHeight="false" outlineLevel="0" collapsed="false">
      <c r="A104" s="5" t="s">
        <v>28</v>
      </c>
      <c r="B104" s="5" t="n">
        <v>9179</v>
      </c>
      <c r="C104" s="5" t="s">
        <v>187</v>
      </c>
      <c r="D104" s="14" t="n">
        <v>45991</v>
      </c>
      <c r="E104" s="15" t="n">
        <v>-3.65</v>
      </c>
      <c r="F104" s="5" t="s">
        <v>196</v>
      </c>
      <c r="G104" s="5" t="s">
        <v>178</v>
      </c>
      <c r="H104" s="5" t="s">
        <v>189</v>
      </c>
      <c r="I104" s="5" t="s">
        <v>194</v>
      </c>
      <c r="J104" s="5" t="s">
        <v>197</v>
      </c>
      <c r="K104" s="16" t="n">
        <v>-135</v>
      </c>
      <c r="L104" s="5" t="s">
        <v>192</v>
      </c>
      <c r="M104" s="17" t="n">
        <v>36.9795800562811</v>
      </c>
      <c r="N104" s="3" t="str">
        <f aca="false">IF(OR(K104="",M104=""),"",IF(C104="STATS_ONLY","stats",IF(ROUND(K104/M104,2)=E104,"OK","CHECK")))</f>
        <v>OK</v>
      </c>
      <c r="O104" s="3" t="str">
        <f aca="false">TEXT(D104,"yyyy-mm")</f>
        <v>2025-11</v>
      </c>
      <c r="P104" s="13"/>
    </row>
    <row r="105" customFormat="false" ht="15" hidden="false" customHeight="false" outlineLevel="0" collapsed="false">
      <c r="A105" s="5" t="s">
        <v>28</v>
      </c>
      <c r="B105" s="5" t="n">
        <v>9180</v>
      </c>
      <c r="C105" s="5" t="s">
        <v>187</v>
      </c>
      <c r="D105" s="14" t="n">
        <v>45991</v>
      </c>
      <c r="E105" s="15" t="n">
        <v>-1.08</v>
      </c>
      <c r="F105" s="5" t="s">
        <v>222</v>
      </c>
      <c r="G105" s="5" t="s">
        <v>178</v>
      </c>
      <c r="H105" s="5" t="s">
        <v>189</v>
      </c>
      <c r="I105" s="5" t="s">
        <v>194</v>
      </c>
      <c r="J105" s="5" t="s">
        <v>181</v>
      </c>
      <c r="K105" s="16" t="n">
        <v>-40</v>
      </c>
      <c r="L105" s="5" t="s">
        <v>192</v>
      </c>
      <c r="M105" s="17" t="n">
        <v>36.9795800562811</v>
      </c>
      <c r="N105" s="3" t="str">
        <f aca="false">IF(OR(K105="",M105=""),"",IF(C105="STATS_ONLY","stats",IF(ROUND(K105/M105,2)=E105,"OK","CHECK")))</f>
        <v>OK</v>
      </c>
      <c r="O105" s="3" t="str">
        <f aca="false">TEXT(D105,"yyyy-mm")</f>
        <v>2025-11</v>
      </c>
      <c r="P105" s="13"/>
    </row>
    <row r="106" customFormat="false" ht="15" hidden="false" customHeight="false" outlineLevel="0" collapsed="false">
      <c r="A106" s="5" t="s">
        <v>28</v>
      </c>
      <c r="B106" s="5" t="n">
        <v>9181</v>
      </c>
      <c r="C106" s="5" t="s">
        <v>187</v>
      </c>
      <c r="D106" s="14" t="n">
        <v>45992</v>
      </c>
      <c r="E106" s="15" t="n">
        <v>-1.08</v>
      </c>
      <c r="F106" s="5" t="s">
        <v>254</v>
      </c>
      <c r="G106" s="5" t="s">
        <v>178</v>
      </c>
      <c r="H106" s="5" t="s">
        <v>189</v>
      </c>
      <c r="I106" s="5" t="s">
        <v>194</v>
      </c>
      <c r="J106" s="5" t="s">
        <v>181</v>
      </c>
      <c r="K106" s="16" t="n">
        <v>-40</v>
      </c>
      <c r="L106" s="5" t="s">
        <v>192</v>
      </c>
      <c r="M106" s="17" t="n">
        <v>36.9795800562811</v>
      </c>
      <c r="N106" s="3" t="str">
        <f aca="false">IF(OR(K106="",M106=""),"",IF(C106="STATS_ONLY","stats",IF(ROUND(K106/M106,2)=E106,"OK","CHECK")))</f>
        <v>OK</v>
      </c>
      <c r="O106" s="3" t="str">
        <f aca="false">TEXT(D106,"yyyy-mm")</f>
        <v>2025-12</v>
      </c>
      <c r="P106" s="13"/>
    </row>
    <row r="107" customFormat="false" ht="15" hidden="false" customHeight="false" outlineLevel="0" collapsed="false">
      <c r="A107" s="5" t="s">
        <v>28</v>
      </c>
      <c r="B107" s="5" t="n">
        <v>9597</v>
      </c>
      <c r="C107" s="5" t="s">
        <v>152</v>
      </c>
      <c r="D107" s="14" t="n">
        <v>45992</v>
      </c>
      <c r="E107" s="15" t="n">
        <v>-15</v>
      </c>
      <c r="F107" s="5" t="s">
        <v>162</v>
      </c>
      <c r="G107" s="5" t="s">
        <v>163</v>
      </c>
      <c r="H107" s="5" t="s">
        <v>164</v>
      </c>
      <c r="I107" s="5" t="s">
        <v>165</v>
      </c>
      <c r="J107" s="5"/>
      <c r="K107" s="16"/>
      <c r="L107" s="5"/>
      <c r="M107" s="17"/>
      <c r="N107" s="3" t="str">
        <f aca="false">IF(OR(K107="",M107=""),"",IF(C107="STATS_ONLY","stats",IF(ROUND(K107/M107,2)=E107,"OK","CHECK")))</f>
        <v/>
      </c>
      <c r="O107" s="3" t="str">
        <f aca="false">TEXT(D107,"yyyy-mm")</f>
        <v>2025-12</v>
      </c>
      <c r="P107" s="13"/>
    </row>
    <row r="108" customFormat="false" ht="15" hidden="false" customHeight="false" outlineLevel="0" collapsed="false">
      <c r="A108" s="5" t="s">
        <v>28</v>
      </c>
      <c r="B108" s="5" t="n">
        <v>9182</v>
      </c>
      <c r="C108" s="5" t="s">
        <v>187</v>
      </c>
      <c r="D108" s="14" t="n">
        <v>45993</v>
      </c>
      <c r="E108" s="15" t="n">
        <v>-3.65</v>
      </c>
      <c r="F108" s="5" t="s">
        <v>217</v>
      </c>
      <c r="G108" s="5" t="s">
        <v>178</v>
      </c>
      <c r="H108" s="5" t="s">
        <v>189</v>
      </c>
      <c r="I108" s="5" t="s">
        <v>194</v>
      </c>
      <c r="J108" s="5" t="s">
        <v>209</v>
      </c>
      <c r="K108" s="16" t="n">
        <v>-135</v>
      </c>
      <c r="L108" s="5" t="s">
        <v>192</v>
      </c>
      <c r="M108" s="17" t="n">
        <v>36.9795800562811</v>
      </c>
      <c r="N108" s="3" t="str">
        <f aca="false">IF(OR(K108="",M108=""),"",IF(C108="STATS_ONLY","stats",IF(ROUND(K108/M108,2)=E108,"OK","CHECK")))</f>
        <v>OK</v>
      </c>
      <c r="O108" s="3" t="str">
        <f aca="false">TEXT(D108,"yyyy-mm")</f>
        <v>2025-12</v>
      </c>
      <c r="P108" s="13"/>
    </row>
    <row r="109" customFormat="false" ht="15" hidden="false" customHeight="false" outlineLevel="0" collapsed="false">
      <c r="A109" s="5" t="s">
        <v>28</v>
      </c>
      <c r="B109" s="5" t="n">
        <v>9183</v>
      </c>
      <c r="C109" s="5" t="s">
        <v>187</v>
      </c>
      <c r="D109" s="14" t="n">
        <v>45993</v>
      </c>
      <c r="E109" s="15" t="n">
        <v>-4.19</v>
      </c>
      <c r="F109" s="5" t="s">
        <v>210</v>
      </c>
      <c r="G109" s="5" t="s">
        <v>178</v>
      </c>
      <c r="H109" s="5" t="s">
        <v>189</v>
      </c>
      <c r="I109" s="5" t="s">
        <v>194</v>
      </c>
      <c r="J109" s="5" t="s">
        <v>197</v>
      </c>
      <c r="K109" s="16" t="n">
        <v>-155</v>
      </c>
      <c r="L109" s="5" t="s">
        <v>192</v>
      </c>
      <c r="M109" s="17" t="n">
        <v>36.9795800562811</v>
      </c>
      <c r="N109" s="3" t="str">
        <f aca="false">IF(OR(K109="",M109=""),"",IF(C109="STATS_ONLY","stats",IF(ROUND(K109/M109,2)=E109,"OK","CHECK")))</f>
        <v>OK</v>
      </c>
      <c r="O109" s="3" t="str">
        <f aca="false">TEXT(D109,"yyyy-mm")</f>
        <v>2025-12</v>
      </c>
      <c r="P109" s="13"/>
    </row>
    <row r="110" customFormat="false" ht="15" hidden="false" customHeight="false" outlineLevel="0" collapsed="false">
      <c r="A110" s="5" t="s">
        <v>28</v>
      </c>
      <c r="B110" s="5" t="n">
        <v>9184</v>
      </c>
      <c r="C110" s="5" t="s">
        <v>187</v>
      </c>
      <c r="D110" s="14" t="n">
        <v>45993</v>
      </c>
      <c r="E110" s="15" t="n">
        <v>-2.16</v>
      </c>
      <c r="F110" s="5" t="s">
        <v>218</v>
      </c>
      <c r="G110" s="5" t="s">
        <v>178</v>
      </c>
      <c r="H110" s="5" t="s">
        <v>189</v>
      </c>
      <c r="I110" s="5" t="s">
        <v>194</v>
      </c>
      <c r="J110" s="5" t="s">
        <v>199</v>
      </c>
      <c r="K110" s="16" t="n">
        <v>-80</v>
      </c>
      <c r="L110" s="5" t="s">
        <v>192</v>
      </c>
      <c r="M110" s="17" t="n">
        <v>36.9795800562811</v>
      </c>
      <c r="N110" s="3" t="str">
        <f aca="false">IF(OR(K110="",M110=""),"",IF(C110="STATS_ONLY","stats",IF(ROUND(K110/M110,2)=E110,"OK","CHECK")))</f>
        <v>OK</v>
      </c>
      <c r="O110" s="3" t="str">
        <f aca="false">TEXT(D110,"yyyy-mm")</f>
        <v>2025-12</v>
      </c>
      <c r="P110" s="13"/>
    </row>
    <row r="111" customFormat="false" ht="15" hidden="false" customHeight="false" outlineLevel="0" collapsed="false">
      <c r="A111" s="5" t="s">
        <v>28</v>
      </c>
      <c r="B111" s="5" t="n">
        <v>9185</v>
      </c>
      <c r="C111" s="5" t="s">
        <v>187</v>
      </c>
      <c r="D111" s="14" t="n">
        <v>45993</v>
      </c>
      <c r="E111" s="15" t="n">
        <v>-1.08</v>
      </c>
      <c r="F111" s="5" t="s">
        <v>248</v>
      </c>
      <c r="G111" s="5" t="s">
        <v>178</v>
      </c>
      <c r="H111" s="5" t="s">
        <v>189</v>
      </c>
      <c r="I111" s="5" t="s">
        <v>194</v>
      </c>
      <c r="J111" s="5" t="s">
        <v>181</v>
      </c>
      <c r="K111" s="16" t="n">
        <v>-40</v>
      </c>
      <c r="L111" s="5" t="s">
        <v>192</v>
      </c>
      <c r="M111" s="17" t="n">
        <v>36.9795800562811</v>
      </c>
      <c r="N111" s="3" t="str">
        <f aca="false">IF(OR(K111="",M111=""),"",IF(C111="STATS_ONLY","stats",IF(ROUND(K111/M111,2)=E111,"OK","CHECK")))</f>
        <v>OK</v>
      </c>
      <c r="O111" s="3" t="str">
        <f aca="false">TEXT(D111,"yyyy-mm")</f>
        <v>2025-12</v>
      </c>
      <c r="P111" s="13"/>
    </row>
    <row r="112" customFormat="false" ht="15" hidden="false" customHeight="false" outlineLevel="0" collapsed="false">
      <c r="A112" s="5" t="s">
        <v>28</v>
      </c>
      <c r="B112" s="5" t="n">
        <v>9186</v>
      </c>
      <c r="C112" s="5" t="s">
        <v>187</v>
      </c>
      <c r="D112" s="14" t="n">
        <v>45994</v>
      </c>
      <c r="E112" s="15" t="n">
        <v>-2.43</v>
      </c>
      <c r="F112" s="5" t="s">
        <v>226</v>
      </c>
      <c r="G112" s="5" t="s">
        <v>178</v>
      </c>
      <c r="H112" s="5" t="s">
        <v>189</v>
      </c>
      <c r="I112" s="5" t="s">
        <v>194</v>
      </c>
      <c r="J112" s="5" t="s">
        <v>197</v>
      </c>
      <c r="K112" s="16" t="n">
        <v>-90</v>
      </c>
      <c r="L112" s="5" t="s">
        <v>192</v>
      </c>
      <c r="M112" s="17" t="n">
        <v>36.9795800562811</v>
      </c>
      <c r="N112" s="3" t="str">
        <f aca="false">IF(OR(K112="",M112=""),"",IF(C112="STATS_ONLY","stats",IF(ROUND(K112/M112,2)=E112,"OK","CHECK")))</f>
        <v>OK</v>
      </c>
      <c r="O112" s="3" t="str">
        <f aca="false">TEXT(D112,"yyyy-mm")</f>
        <v>2025-12</v>
      </c>
      <c r="P112" s="13"/>
    </row>
    <row r="113" customFormat="false" ht="15" hidden="false" customHeight="false" outlineLevel="0" collapsed="false">
      <c r="A113" s="5" t="s">
        <v>28</v>
      </c>
      <c r="B113" s="5" t="n">
        <v>9187</v>
      </c>
      <c r="C113" s="5" t="s">
        <v>187</v>
      </c>
      <c r="D113" s="14" t="n">
        <v>45995</v>
      </c>
      <c r="E113" s="15" t="n">
        <v>-1.89</v>
      </c>
      <c r="F113" s="5" t="s">
        <v>241</v>
      </c>
      <c r="G113" s="5" t="s">
        <v>178</v>
      </c>
      <c r="H113" s="5" t="s">
        <v>189</v>
      </c>
      <c r="I113" s="5" t="s">
        <v>194</v>
      </c>
      <c r="J113" s="5" t="s">
        <v>209</v>
      </c>
      <c r="K113" s="16" t="n">
        <v>-70</v>
      </c>
      <c r="L113" s="5" t="s">
        <v>192</v>
      </c>
      <c r="M113" s="17" t="n">
        <v>36.9795800562811</v>
      </c>
      <c r="N113" s="3" t="str">
        <f aca="false">IF(OR(K113="",M113=""),"",IF(C113="STATS_ONLY","stats",IF(ROUND(K113/M113,2)=E113,"OK","CHECK")))</f>
        <v>OK</v>
      </c>
      <c r="O113" s="3" t="str">
        <f aca="false">TEXT(D113,"yyyy-mm")</f>
        <v>2025-12</v>
      </c>
      <c r="P113" s="13"/>
    </row>
    <row r="114" customFormat="false" ht="15" hidden="false" customHeight="false" outlineLevel="0" collapsed="false">
      <c r="A114" s="5" t="s">
        <v>28</v>
      </c>
      <c r="B114" s="5" t="n">
        <v>9188</v>
      </c>
      <c r="C114" s="5" t="s">
        <v>187</v>
      </c>
      <c r="D114" s="14" t="n">
        <v>45995</v>
      </c>
      <c r="E114" s="15" t="n">
        <v>-3.79</v>
      </c>
      <c r="F114" s="5" t="s">
        <v>196</v>
      </c>
      <c r="G114" s="5" t="s">
        <v>178</v>
      </c>
      <c r="H114" s="5" t="s">
        <v>189</v>
      </c>
      <c r="I114" s="5" t="s">
        <v>194</v>
      </c>
      <c r="J114" s="5" t="s">
        <v>197</v>
      </c>
      <c r="K114" s="16" t="n">
        <v>-140</v>
      </c>
      <c r="L114" s="5" t="s">
        <v>192</v>
      </c>
      <c r="M114" s="17" t="n">
        <v>36.9795800562811</v>
      </c>
      <c r="N114" s="3" t="str">
        <f aca="false">IF(OR(K114="",M114=""),"",IF(C114="STATS_ONLY","stats",IF(ROUND(K114/M114,2)=E114,"OK","CHECK")))</f>
        <v>OK</v>
      </c>
      <c r="O114" s="3" t="str">
        <f aca="false">TEXT(D114,"yyyy-mm")</f>
        <v>2025-12</v>
      </c>
      <c r="P114" s="13"/>
    </row>
    <row r="115" customFormat="false" ht="15" hidden="false" customHeight="false" outlineLevel="0" collapsed="false">
      <c r="A115" s="5" t="s">
        <v>28</v>
      </c>
      <c r="B115" s="5" t="n">
        <v>9189</v>
      </c>
      <c r="C115" s="5" t="s">
        <v>187</v>
      </c>
      <c r="D115" s="14" t="n">
        <v>45995</v>
      </c>
      <c r="E115" s="15" t="n">
        <v>-1.89</v>
      </c>
      <c r="F115" s="5" t="s">
        <v>248</v>
      </c>
      <c r="G115" s="5" t="s">
        <v>178</v>
      </c>
      <c r="H115" s="5" t="s">
        <v>189</v>
      </c>
      <c r="I115" s="5" t="s">
        <v>194</v>
      </c>
      <c r="J115" s="5" t="s">
        <v>181</v>
      </c>
      <c r="K115" s="16" t="n">
        <v>-70</v>
      </c>
      <c r="L115" s="5" t="s">
        <v>192</v>
      </c>
      <c r="M115" s="17" t="n">
        <v>36.9795800562811</v>
      </c>
      <c r="N115" s="3" t="str">
        <f aca="false">IF(OR(K115="",M115=""),"",IF(C115="STATS_ONLY","stats",IF(ROUND(K115/M115,2)=E115,"OK","CHECK")))</f>
        <v>OK</v>
      </c>
      <c r="O115" s="3" t="str">
        <f aca="false">TEXT(D115,"yyyy-mm")</f>
        <v>2025-12</v>
      </c>
      <c r="P115" s="13"/>
    </row>
    <row r="116" customFormat="false" ht="15" hidden="false" customHeight="false" outlineLevel="0" collapsed="false">
      <c r="A116" s="5" t="s">
        <v>28</v>
      </c>
      <c r="B116" s="5" t="n">
        <v>9190</v>
      </c>
      <c r="C116" s="5" t="s">
        <v>187</v>
      </c>
      <c r="D116" s="14" t="n">
        <v>45996</v>
      </c>
      <c r="E116" s="15" t="n">
        <v>-2.03</v>
      </c>
      <c r="F116" s="5" t="s">
        <v>227</v>
      </c>
      <c r="G116" s="5" t="s">
        <v>178</v>
      </c>
      <c r="H116" s="5" t="s">
        <v>189</v>
      </c>
      <c r="I116" s="5" t="s">
        <v>194</v>
      </c>
      <c r="J116" s="5" t="s">
        <v>195</v>
      </c>
      <c r="K116" s="16" t="n">
        <v>-75</v>
      </c>
      <c r="L116" s="5" t="s">
        <v>192</v>
      </c>
      <c r="M116" s="17" t="n">
        <v>36.9795800562811</v>
      </c>
      <c r="N116" s="3" t="str">
        <f aca="false">IF(OR(K116="",M116=""),"",IF(C116="STATS_ONLY","stats",IF(ROUND(K116/M116,2)=E116,"OK","CHECK")))</f>
        <v>OK</v>
      </c>
      <c r="O116" s="3" t="str">
        <f aca="false">TEXT(D116,"yyyy-mm")</f>
        <v>2025-12</v>
      </c>
      <c r="P116" s="13"/>
    </row>
    <row r="117" customFormat="false" ht="15" hidden="false" customHeight="false" outlineLevel="0" collapsed="false">
      <c r="A117" s="5" t="s">
        <v>28</v>
      </c>
      <c r="B117" s="5" t="n">
        <v>9191</v>
      </c>
      <c r="C117" s="5" t="s">
        <v>187</v>
      </c>
      <c r="D117" s="14" t="n">
        <v>45996</v>
      </c>
      <c r="E117" s="15" t="n">
        <v>-3.65</v>
      </c>
      <c r="F117" s="5" t="s">
        <v>196</v>
      </c>
      <c r="G117" s="5" t="s">
        <v>178</v>
      </c>
      <c r="H117" s="5" t="s">
        <v>189</v>
      </c>
      <c r="I117" s="5" t="s">
        <v>194</v>
      </c>
      <c r="J117" s="5" t="s">
        <v>197</v>
      </c>
      <c r="K117" s="16" t="n">
        <v>-135</v>
      </c>
      <c r="L117" s="5" t="s">
        <v>192</v>
      </c>
      <c r="M117" s="17" t="n">
        <v>36.9795800562811</v>
      </c>
      <c r="N117" s="3" t="str">
        <f aca="false">IF(OR(K117="",M117=""),"",IF(C117="STATS_ONLY","stats",IF(ROUND(K117/M117,2)=E117,"OK","CHECK")))</f>
        <v>OK</v>
      </c>
      <c r="O117" s="3" t="str">
        <f aca="false">TEXT(D117,"yyyy-mm")</f>
        <v>2025-12</v>
      </c>
      <c r="P117" s="13"/>
    </row>
    <row r="118" customFormat="false" ht="15" hidden="false" customHeight="false" outlineLevel="0" collapsed="false">
      <c r="A118" s="5" t="s">
        <v>28</v>
      </c>
      <c r="B118" s="5" t="n">
        <v>9192</v>
      </c>
      <c r="C118" s="5" t="s">
        <v>187</v>
      </c>
      <c r="D118" s="14" t="n">
        <v>45996</v>
      </c>
      <c r="E118" s="15" t="n">
        <v>-2.03</v>
      </c>
      <c r="F118" s="5" t="s">
        <v>218</v>
      </c>
      <c r="G118" s="5" t="s">
        <v>178</v>
      </c>
      <c r="H118" s="5" t="s">
        <v>189</v>
      </c>
      <c r="I118" s="5" t="s">
        <v>194</v>
      </c>
      <c r="J118" s="5" t="s">
        <v>199</v>
      </c>
      <c r="K118" s="16" t="n">
        <v>-75</v>
      </c>
      <c r="L118" s="5" t="s">
        <v>192</v>
      </c>
      <c r="M118" s="17" t="n">
        <v>36.9795800562811</v>
      </c>
      <c r="N118" s="3" t="str">
        <f aca="false">IF(OR(K118="",M118=""),"",IF(C118="STATS_ONLY","stats",IF(ROUND(K118/M118,2)=E118,"OK","CHECK")))</f>
        <v>OK</v>
      </c>
      <c r="O118" s="3" t="str">
        <f aca="false">TEXT(D118,"yyyy-mm")</f>
        <v>2025-12</v>
      </c>
      <c r="P118" s="13"/>
    </row>
    <row r="119" customFormat="false" ht="15" hidden="false" customHeight="false" outlineLevel="0" collapsed="false">
      <c r="A119" s="5" t="s">
        <v>28</v>
      </c>
      <c r="B119" s="5" t="n">
        <v>9598</v>
      </c>
      <c r="C119" s="5" t="s">
        <v>152</v>
      </c>
      <c r="D119" s="14" t="n">
        <v>45996</v>
      </c>
      <c r="E119" s="15" t="n">
        <v>-45</v>
      </c>
      <c r="F119" s="5" t="s">
        <v>200</v>
      </c>
      <c r="G119" s="5" t="s">
        <v>163</v>
      </c>
      <c r="H119" s="5" t="s">
        <v>164</v>
      </c>
      <c r="I119" s="5" t="s">
        <v>201</v>
      </c>
      <c r="J119" s="5"/>
      <c r="K119" s="16"/>
      <c r="L119" s="5"/>
      <c r="M119" s="17"/>
      <c r="N119" s="3" t="str">
        <f aca="false">IF(OR(K119="",M119=""),"",IF(C119="STATS_ONLY","stats",IF(ROUND(K119/M119,2)=E119,"OK","CHECK")))</f>
        <v/>
      </c>
      <c r="O119" s="3" t="str">
        <f aca="false">TEXT(D119,"yyyy-mm")</f>
        <v>2025-12</v>
      </c>
      <c r="P119" s="13"/>
    </row>
    <row r="120" customFormat="false" ht="15" hidden="false" customHeight="false" outlineLevel="0" collapsed="false">
      <c r="A120" s="5" t="s">
        <v>28</v>
      </c>
      <c r="B120" s="5" t="n">
        <v>9193</v>
      </c>
      <c r="C120" s="5" t="s">
        <v>152</v>
      </c>
      <c r="D120" s="14" t="n">
        <v>45997</v>
      </c>
      <c r="E120" s="15" t="n">
        <v>-277.2</v>
      </c>
      <c r="F120" s="5" t="s">
        <v>255</v>
      </c>
      <c r="G120" s="5" t="s">
        <v>167</v>
      </c>
      <c r="H120" s="5" t="s">
        <v>167</v>
      </c>
      <c r="I120" s="5" t="s">
        <v>168</v>
      </c>
      <c r="J120" s="5"/>
      <c r="K120" s="16"/>
      <c r="L120" s="5"/>
      <c r="M120" s="17"/>
      <c r="N120" s="3" t="str">
        <f aca="false">IF(OR(K120="",M120=""),"",IF(C120="STATS_ONLY","stats",IF(ROUND(K120/M120,2)=E120,"OK","CHECK")))</f>
        <v/>
      </c>
      <c r="O120" s="3" t="str">
        <f aca="false">TEXT(D120,"yyyy-mm")</f>
        <v>2025-12</v>
      </c>
      <c r="P120" s="13" t="s">
        <v>169</v>
      </c>
    </row>
    <row r="121" customFormat="false" ht="15" hidden="false" customHeight="false" outlineLevel="0" collapsed="false">
      <c r="A121" s="5" t="s">
        <v>28</v>
      </c>
      <c r="B121" s="5" t="n">
        <v>9193</v>
      </c>
      <c r="C121" s="5" t="s">
        <v>187</v>
      </c>
      <c r="D121" s="14" t="n">
        <v>45997</v>
      </c>
      <c r="E121" s="15" t="n">
        <v>277.2</v>
      </c>
      <c r="F121" s="5" t="s">
        <v>255</v>
      </c>
      <c r="G121" s="5" t="s">
        <v>167</v>
      </c>
      <c r="H121" s="5" t="s">
        <v>167</v>
      </c>
      <c r="I121" s="5" t="s">
        <v>168</v>
      </c>
      <c r="J121" s="5" t="s">
        <v>203</v>
      </c>
      <c r="K121" s="16" t="n">
        <v>10250</v>
      </c>
      <c r="L121" s="5" t="s">
        <v>192</v>
      </c>
      <c r="M121" s="18" t="n">
        <f aca="false">K121/E121</f>
        <v>36.976911976912</v>
      </c>
      <c r="N121" s="3" t="str">
        <f aca="false">IF(OR(K121="",M121=""),"",IF(C121="STATS_ONLY","stats",IF(ROUND(K121/M121,2)=E121,"OK","CHECK")))</f>
        <v>OK</v>
      </c>
      <c r="O121" s="3" t="str">
        <f aca="false">TEXT(D121,"yyyy-mm")</f>
        <v>2025-12</v>
      </c>
      <c r="P121" s="13" t="s">
        <v>170</v>
      </c>
    </row>
    <row r="122" customFormat="false" ht="15" hidden="false" customHeight="false" outlineLevel="0" collapsed="false">
      <c r="A122" s="5" t="s">
        <v>28</v>
      </c>
      <c r="B122" s="5" t="n">
        <v>9193</v>
      </c>
      <c r="C122" s="5" t="s">
        <v>187</v>
      </c>
      <c r="D122" s="14" t="n">
        <v>45997</v>
      </c>
      <c r="E122" s="15" t="n">
        <v>-6.76</v>
      </c>
      <c r="F122" s="5" t="s">
        <v>204</v>
      </c>
      <c r="G122" s="5" t="s">
        <v>178</v>
      </c>
      <c r="H122" s="5" t="s">
        <v>189</v>
      </c>
      <c r="I122" s="5" t="s">
        <v>205</v>
      </c>
      <c r="J122" s="5" t="s">
        <v>206</v>
      </c>
      <c r="K122" s="16" t="n">
        <v>-250</v>
      </c>
      <c r="L122" s="5" t="s">
        <v>192</v>
      </c>
      <c r="M122" s="17" t="n">
        <v>36.976911976912</v>
      </c>
      <c r="N122" s="3" t="str">
        <f aca="false">IF(OR(K122="",M122=""),"",IF(C122="STATS_ONLY","stats",IF(ROUND(K122/M122,2)=E122,"OK","CHECK")))</f>
        <v>OK</v>
      </c>
      <c r="O122" s="3" t="str">
        <f aca="false">TEXT(D122,"yyyy-mm")</f>
        <v>2025-12</v>
      </c>
      <c r="P122" s="13" t="s">
        <v>207</v>
      </c>
    </row>
    <row r="123" customFormat="false" ht="15" hidden="false" customHeight="false" outlineLevel="0" collapsed="false">
      <c r="A123" s="5" t="s">
        <v>28</v>
      </c>
      <c r="B123" s="5" t="n">
        <v>9194</v>
      </c>
      <c r="C123" s="5" t="s">
        <v>187</v>
      </c>
      <c r="D123" s="14" t="n">
        <v>45997</v>
      </c>
      <c r="E123" s="15" t="n">
        <v>-3.65</v>
      </c>
      <c r="F123" s="5" t="s">
        <v>241</v>
      </c>
      <c r="G123" s="5" t="s">
        <v>178</v>
      </c>
      <c r="H123" s="5" t="s">
        <v>189</v>
      </c>
      <c r="I123" s="5" t="s">
        <v>194</v>
      </c>
      <c r="J123" s="5" t="s">
        <v>209</v>
      </c>
      <c r="K123" s="16" t="n">
        <v>-135</v>
      </c>
      <c r="L123" s="5" t="s">
        <v>192</v>
      </c>
      <c r="M123" s="17" t="n">
        <v>36.976911976912</v>
      </c>
      <c r="N123" s="3" t="str">
        <f aca="false">IF(OR(K123="",M123=""),"",IF(C123="STATS_ONLY","stats",IF(ROUND(K123/M123,2)=E123,"OK","CHECK")))</f>
        <v>OK</v>
      </c>
      <c r="O123" s="3" t="str">
        <f aca="false">TEXT(D123,"yyyy-mm")</f>
        <v>2025-12</v>
      </c>
      <c r="P123" s="13"/>
    </row>
    <row r="124" customFormat="false" ht="15" hidden="false" customHeight="false" outlineLevel="0" collapsed="false">
      <c r="A124" s="5" t="s">
        <v>28</v>
      </c>
      <c r="B124" s="5" t="n">
        <v>9195</v>
      </c>
      <c r="C124" s="5" t="s">
        <v>187</v>
      </c>
      <c r="D124" s="14" t="n">
        <v>45997</v>
      </c>
      <c r="E124" s="15" t="n">
        <v>-4.06</v>
      </c>
      <c r="F124" s="5" t="s">
        <v>247</v>
      </c>
      <c r="G124" s="5" t="s">
        <v>178</v>
      </c>
      <c r="H124" s="5" t="s">
        <v>189</v>
      </c>
      <c r="I124" s="5" t="s">
        <v>194</v>
      </c>
      <c r="J124" s="5" t="s">
        <v>197</v>
      </c>
      <c r="K124" s="16" t="n">
        <v>-150</v>
      </c>
      <c r="L124" s="5" t="s">
        <v>192</v>
      </c>
      <c r="M124" s="17" t="n">
        <v>36.976911976912</v>
      </c>
      <c r="N124" s="3" t="str">
        <f aca="false">IF(OR(K124="",M124=""),"",IF(C124="STATS_ONLY","stats",IF(ROUND(K124/M124,2)=E124,"OK","CHECK")))</f>
        <v>OK</v>
      </c>
      <c r="O124" s="3" t="str">
        <f aca="false">TEXT(D124,"yyyy-mm")</f>
        <v>2025-12</v>
      </c>
      <c r="P124" s="13"/>
    </row>
    <row r="125" customFormat="false" ht="15" hidden="false" customHeight="false" outlineLevel="0" collapsed="false">
      <c r="A125" s="5" t="s">
        <v>28</v>
      </c>
      <c r="B125" s="5" t="n">
        <v>9196</v>
      </c>
      <c r="C125" s="5" t="s">
        <v>187</v>
      </c>
      <c r="D125" s="14" t="n">
        <v>45997</v>
      </c>
      <c r="E125" s="15" t="n">
        <v>-1.62</v>
      </c>
      <c r="F125" s="5" t="s">
        <v>198</v>
      </c>
      <c r="G125" s="5" t="s">
        <v>178</v>
      </c>
      <c r="H125" s="5" t="s">
        <v>189</v>
      </c>
      <c r="I125" s="5" t="s">
        <v>194</v>
      </c>
      <c r="J125" s="5" t="s">
        <v>199</v>
      </c>
      <c r="K125" s="16" t="n">
        <v>-60</v>
      </c>
      <c r="L125" s="5" t="s">
        <v>192</v>
      </c>
      <c r="M125" s="17" t="n">
        <v>36.976911976912</v>
      </c>
      <c r="N125" s="3" t="str">
        <f aca="false">IF(OR(K125="",M125=""),"",IF(C125="STATS_ONLY","stats",IF(ROUND(K125/M125,2)=E125,"OK","CHECK")))</f>
        <v>OK</v>
      </c>
      <c r="O125" s="3" t="str">
        <f aca="false">TEXT(D125,"yyyy-mm")</f>
        <v>2025-12</v>
      </c>
      <c r="P125" s="13"/>
    </row>
    <row r="126" customFormat="false" ht="15" hidden="false" customHeight="false" outlineLevel="0" collapsed="false">
      <c r="A126" s="5" t="s">
        <v>28</v>
      </c>
      <c r="B126" s="5" t="n">
        <v>9197</v>
      </c>
      <c r="C126" s="5" t="s">
        <v>187</v>
      </c>
      <c r="D126" s="14" t="n">
        <v>45997</v>
      </c>
      <c r="E126" s="15" t="n">
        <v>-0.68</v>
      </c>
      <c r="F126" s="5" t="s">
        <v>212</v>
      </c>
      <c r="G126" s="5" t="s">
        <v>178</v>
      </c>
      <c r="H126" s="5" t="s">
        <v>189</v>
      </c>
      <c r="I126" s="5" t="s">
        <v>194</v>
      </c>
      <c r="J126" s="5" t="s">
        <v>181</v>
      </c>
      <c r="K126" s="16" t="n">
        <v>-25</v>
      </c>
      <c r="L126" s="5" t="s">
        <v>192</v>
      </c>
      <c r="M126" s="17" t="n">
        <v>36.976911976912</v>
      </c>
      <c r="N126" s="3" t="str">
        <f aca="false">IF(OR(K126="",M126=""),"",IF(C126="STATS_ONLY","stats",IF(ROUND(K126/M126,2)=E126,"OK","CHECK")))</f>
        <v>OK</v>
      </c>
      <c r="O126" s="3" t="str">
        <f aca="false">TEXT(D126,"yyyy-mm")</f>
        <v>2025-12</v>
      </c>
      <c r="P126" s="13"/>
    </row>
    <row r="127" customFormat="false" ht="15" hidden="false" customHeight="false" outlineLevel="0" collapsed="false">
      <c r="A127" s="5" t="s">
        <v>28</v>
      </c>
      <c r="B127" s="5" t="n">
        <v>9198</v>
      </c>
      <c r="C127" s="5" t="s">
        <v>187</v>
      </c>
      <c r="D127" s="14" t="n">
        <v>45998</v>
      </c>
      <c r="E127" s="15" t="n">
        <v>-3.79</v>
      </c>
      <c r="F127" s="5" t="s">
        <v>225</v>
      </c>
      <c r="G127" s="5" t="s">
        <v>178</v>
      </c>
      <c r="H127" s="5" t="s">
        <v>189</v>
      </c>
      <c r="I127" s="5" t="s">
        <v>194</v>
      </c>
      <c r="J127" s="5" t="s">
        <v>197</v>
      </c>
      <c r="K127" s="16" t="n">
        <v>-140</v>
      </c>
      <c r="L127" s="5" t="s">
        <v>192</v>
      </c>
      <c r="M127" s="17" t="n">
        <v>36.976911976912</v>
      </c>
      <c r="N127" s="3" t="str">
        <f aca="false">IF(OR(K127="",M127=""),"",IF(C127="STATS_ONLY","stats",IF(ROUND(K127/M127,2)=E127,"OK","CHECK")))</f>
        <v>OK</v>
      </c>
      <c r="O127" s="3" t="str">
        <f aca="false">TEXT(D127,"yyyy-mm")</f>
        <v>2025-12</v>
      </c>
      <c r="P127" s="13"/>
    </row>
    <row r="128" customFormat="false" ht="15" hidden="false" customHeight="false" outlineLevel="0" collapsed="false">
      <c r="A128" s="5" t="s">
        <v>28</v>
      </c>
      <c r="B128" s="5" t="n">
        <v>9199</v>
      </c>
      <c r="C128" s="5" t="s">
        <v>187</v>
      </c>
      <c r="D128" s="14" t="n">
        <v>45998</v>
      </c>
      <c r="E128" s="15" t="n">
        <v>-1.08</v>
      </c>
      <c r="F128" s="5" t="s">
        <v>222</v>
      </c>
      <c r="G128" s="5" t="s">
        <v>178</v>
      </c>
      <c r="H128" s="5" t="s">
        <v>189</v>
      </c>
      <c r="I128" s="5" t="s">
        <v>194</v>
      </c>
      <c r="J128" s="5" t="s">
        <v>181</v>
      </c>
      <c r="K128" s="16" t="n">
        <v>-40</v>
      </c>
      <c r="L128" s="5" t="s">
        <v>192</v>
      </c>
      <c r="M128" s="17" t="n">
        <v>36.976911976912</v>
      </c>
      <c r="N128" s="3" t="str">
        <f aca="false">IF(OR(K128="",M128=""),"",IF(C128="STATS_ONLY","stats",IF(ROUND(K128/M128,2)=E128,"OK","CHECK")))</f>
        <v>OK</v>
      </c>
      <c r="O128" s="3" t="str">
        <f aca="false">TEXT(D128,"yyyy-mm")</f>
        <v>2025-12</v>
      </c>
      <c r="P128" s="13"/>
    </row>
    <row r="129" customFormat="false" ht="15" hidden="false" customHeight="false" outlineLevel="0" collapsed="false">
      <c r="A129" s="5" t="s">
        <v>28</v>
      </c>
      <c r="B129" s="5" t="n">
        <v>9200</v>
      </c>
      <c r="C129" s="5" t="s">
        <v>187</v>
      </c>
      <c r="D129" s="14" t="n">
        <v>45998</v>
      </c>
      <c r="E129" s="15" t="n">
        <v>-3.79</v>
      </c>
      <c r="F129" s="5" t="s">
        <v>228</v>
      </c>
      <c r="G129" s="5" t="s">
        <v>178</v>
      </c>
      <c r="H129" s="5" t="s">
        <v>189</v>
      </c>
      <c r="I129" s="5" t="s">
        <v>194</v>
      </c>
      <c r="J129" s="5" t="s">
        <v>229</v>
      </c>
      <c r="K129" s="16" t="n">
        <v>-140</v>
      </c>
      <c r="L129" s="5" t="s">
        <v>192</v>
      </c>
      <c r="M129" s="17" t="n">
        <v>36.976911976912</v>
      </c>
      <c r="N129" s="3" t="str">
        <f aca="false">IF(OR(K129="",M129=""),"",IF(C129="STATS_ONLY","stats",IF(ROUND(K129/M129,2)=E129,"OK","CHECK")))</f>
        <v>OK</v>
      </c>
      <c r="O129" s="3" t="str">
        <f aca="false">TEXT(D129,"yyyy-mm")</f>
        <v>2025-12</v>
      </c>
      <c r="P129" s="13"/>
    </row>
    <row r="130" customFormat="false" ht="15" hidden="false" customHeight="false" outlineLevel="0" collapsed="false">
      <c r="A130" s="5" t="s">
        <v>28</v>
      </c>
      <c r="B130" s="5" t="n">
        <v>9599</v>
      </c>
      <c r="C130" s="5" t="s">
        <v>213</v>
      </c>
      <c r="D130" s="14" t="n">
        <v>45998</v>
      </c>
      <c r="E130" s="15" t="n">
        <v>-21.78</v>
      </c>
      <c r="F130" s="5" t="s">
        <v>214</v>
      </c>
      <c r="G130" s="5" t="s">
        <v>163</v>
      </c>
      <c r="H130" s="5" t="s">
        <v>164</v>
      </c>
      <c r="I130" s="5" t="s">
        <v>215</v>
      </c>
      <c r="J130" s="5"/>
      <c r="K130" s="16"/>
      <c r="L130" s="5"/>
      <c r="M130" s="17"/>
      <c r="N130" s="3" t="str">
        <f aca="false">IF(OR(K130="",M130=""),"",IF(C130="STATS_ONLY","stats",IF(ROUND(K130/M130,2)=E130,"OK","CHECK")))</f>
        <v/>
      </c>
      <c r="O130" s="3" t="str">
        <f aca="false">TEXT(D130,"yyyy-mm")</f>
        <v>2025-12</v>
      </c>
      <c r="P130" s="13"/>
    </row>
    <row r="131" customFormat="false" ht="15" hidden="false" customHeight="false" outlineLevel="0" collapsed="false">
      <c r="A131" s="5" t="s">
        <v>28</v>
      </c>
      <c r="B131" s="5" t="n">
        <v>9201</v>
      </c>
      <c r="C131" s="5" t="s">
        <v>187</v>
      </c>
      <c r="D131" s="14" t="n">
        <v>45999</v>
      </c>
      <c r="E131" s="15" t="n">
        <v>-3.25</v>
      </c>
      <c r="F131" s="5" t="s">
        <v>241</v>
      </c>
      <c r="G131" s="5" t="s">
        <v>178</v>
      </c>
      <c r="H131" s="5" t="s">
        <v>189</v>
      </c>
      <c r="I131" s="5" t="s">
        <v>194</v>
      </c>
      <c r="J131" s="5" t="s">
        <v>209</v>
      </c>
      <c r="K131" s="16" t="n">
        <v>-120</v>
      </c>
      <c r="L131" s="5" t="s">
        <v>192</v>
      </c>
      <c r="M131" s="17" t="n">
        <v>36.976911976912</v>
      </c>
      <c r="N131" s="3" t="str">
        <f aca="false">IF(OR(K131="",M131=""),"",IF(C131="STATS_ONLY","stats",IF(ROUND(K131/M131,2)=E131,"OK","CHECK")))</f>
        <v>OK</v>
      </c>
      <c r="O131" s="3" t="str">
        <f aca="false">TEXT(D131,"yyyy-mm")</f>
        <v>2025-12</v>
      </c>
      <c r="P131" s="13"/>
    </row>
    <row r="132" customFormat="false" ht="15" hidden="false" customHeight="false" outlineLevel="0" collapsed="false">
      <c r="A132" s="5" t="s">
        <v>28</v>
      </c>
      <c r="B132" s="5" t="n">
        <v>9202</v>
      </c>
      <c r="C132" s="5" t="s">
        <v>187</v>
      </c>
      <c r="D132" s="14" t="n">
        <v>45999</v>
      </c>
      <c r="E132" s="15" t="n">
        <v>-2.3</v>
      </c>
      <c r="F132" s="5" t="s">
        <v>226</v>
      </c>
      <c r="G132" s="5" t="s">
        <v>178</v>
      </c>
      <c r="H132" s="5" t="s">
        <v>189</v>
      </c>
      <c r="I132" s="5" t="s">
        <v>194</v>
      </c>
      <c r="J132" s="5" t="s">
        <v>197</v>
      </c>
      <c r="K132" s="16" t="n">
        <v>-85</v>
      </c>
      <c r="L132" s="5" t="s">
        <v>192</v>
      </c>
      <c r="M132" s="17" t="n">
        <v>36.976911976912</v>
      </c>
      <c r="N132" s="3" t="str">
        <f aca="false">IF(OR(K132="",M132=""),"",IF(C132="STATS_ONLY","stats",IF(ROUND(K132/M132,2)=E132,"OK","CHECK")))</f>
        <v>OK</v>
      </c>
      <c r="O132" s="3" t="str">
        <f aca="false">TEXT(D132,"yyyy-mm")</f>
        <v>2025-12</v>
      </c>
      <c r="P132" s="13"/>
    </row>
    <row r="133" customFormat="false" ht="15" hidden="false" customHeight="false" outlineLevel="0" collapsed="false">
      <c r="A133" s="5" t="s">
        <v>28</v>
      </c>
      <c r="B133" s="5" t="n">
        <v>9203</v>
      </c>
      <c r="C133" s="5" t="s">
        <v>187</v>
      </c>
      <c r="D133" s="14" t="n">
        <v>45999</v>
      </c>
      <c r="E133" s="15" t="n">
        <v>-1.62</v>
      </c>
      <c r="F133" s="5" t="s">
        <v>254</v>
      </c>
      <c r="G133" s="5" t="s">
        <v>178</v>
      </c>
      <c r="H133" s="5" t="s">
        <v>189</v>
      </c>
      <c r="I133" s="5" t="s">
        <v>194</v>
      </c>
      <c r="J133" s="5" t="s">
        <v>181</v>
      </c>
      <c r="K133" s="16" t="n">
        <v>-60</v>
      </c>
      <c r="L133" s="5" t="s">
        <v>192</v>
      </c>
      <c r="M133" s="17" t="n">
        <v>36.976911976912</v>
      </c>
      <c r="N133" s="3" t="str">
        <f aca="false">IF(OR(K133="",M133=""),"",IF(C133="STATS_ONLY","stats",IF(ROUND(K133/M133,2)=E133,"OK","CHECK")))</f>
        <v>OK</v>
      </c>
      <c r="O133" s="3" t="str">
        <f aca="false">TEXT(D133,"yyyy-mm")</f>
        <v>2025-12</v>
      </c>
      <c r="P133" s="13"/>
    </row>
    <row r="134" customFormat="false" ht="15" hidden="false" customHeight="false" outlineLevel="0" collapsed="false">
      <c r="A134" s="5" t="s">
        <v>28</v>
      </c>
      <c r="B134" s="5" t="n">
        <v>9204</v>
      </c>
      <c r="C134" s="5" t="s">
        <v>187</v>
      </c>
      <c r="D134" s="14" t="n">
        <v>45999</v>
      </c>
      <c r="E134" s="15" t="n">
        <v>-9.33</v>
      </c>
      <c r="F134" s="5" t="s">
        <v>236</v>
      </c>
      <c r="G134" s="5" t="s">
        <v>178</v>
      </c>
      <c r="H134" s="5" t="s">
        <v>189</v>
      </c>
      <c r="I134" s="5" t="s">
        <v>194</v>
      </c>
      <c r="J134" s="5" t="s">
        <v>237</v>
      </c>
      <c r="K134" s="16" t="n">
        <v>-345</v>
      </c>
      <c r="L134" s="5" t="s">
        <v>192</v>
      </c>
      <c r="M134" s="17" t="n">
        <v>36.976911976912</v>
      </c>
      <c r="N134" s="3" t="str">
        <f aca="false">IF(OR(K134="",M134=""),"",IF(C134="STATS_ONLY","stats",IF(ROUND(K134/M134,2)=E134,"OK","CHECK")))</f>
        <v>OK</v>
      </c>
      <c r="O134" s="3" t="str">
        <f aca="false">TEXT(D134,"yyyy-mm")</f>
        <v>2025-12</v>
      </c>
      <c r="P134" s="13"/>
    </row>
    <row r="135" customFormat="false" ht="15" hidden="false" customHeight="false" outlineLevel="0" collapsed="false">
      <c r="A135" s="5" t="s">
        <v>28</v>
      </c>
      <c r="B135" s="5" t="n">
        <v>9600</v>
      </c>
      <c r="C135" s="5" t="s">
        <v>152</v>
      </c>
      <c r="D135" s="14" t="n">
        <v>45999</v>
      </c>
      <c r="E135" s="15" t="n">
        <v>-2.99</v>
      </c>
      <c r="F135" s="5" t="s">
        <v>219</v>
      </c>
      <c r="G135" s="5" t="s">
        <v>163</v>
      </c>
      <c r="H135" s="5" t="s">
        <v>164</v>
      </c>
      <c r="I135" s="5" t="s">
        <v>220</v>
      </c>
      <c r="J135" s="5"/>
      <c r="K135" s="16"/>
      <c r="L135" s="5"/>
      <c r="M135" s="17"/>
      <c r="N135" s="3" t="str">
        <f aca="false">IF(OR(K135="",M135=""),"",IF(C135="STATS_ONLY","stats",IF(ROUND(K135/M135,2)=E135,"OK","CHECK")))</f>
        <v/>
      </c>
      <c r="O135" s="3" t="str">
        <f aca="false">TEXT(D135,"yyyy-mm")</f>
        <v>2025-12</v>
      </c>
      <c r="P135" s="13"/>
    </row>
    <row r="136" customFormat="false" ht="15" hidden="false" customHeight="false" outlineLevel="0" collapsed="false">
      <c r="A136" s="5" t="s">
        <v>28</v>
      </c>
      <c r="B136" s="5" t="n">
        <v>9205</v>
      </c>
      <c r="C136" s="5" t="s">
        <v>187</v>
      </c>
      <c r="D136" s="14" t="n">
        <v>46000</v>
      </c>
      <c r="E136" s="15" t="n">
        <v>-2.3</v>
      </c>
      <c r="F136" s="5" t="s">
        <v>232</v>
      </c>
      <c r="G136" s="5" t="s">
        <v>178</v>
      </c>
      <c r="H136" s="5" t="s">
        <v>189</v>
      </c>
      <c r="I136" s="5" t="s">
        <v>194</v>
      </c>
      <c r="J136" s="5" t="s">
        <v>209</v>
      </c>
      <c r="K136" s="16" t="n">
        <v>-85</v>
      </c>
      <c r="L136" s="5" t="s">
        <v>192</v>
      </c>
      <c r="M136" s="17" t="n">
        <v>36.976911976912</v>
      </c>
      <c r="N136" s="3" t="str">
        <f aca="false">IF(OR(K136="",M136=""),"",IF(C136="STATS_ONLY","stats",IF(ROUND(K136/M136,2)=E136,"OK","CHECK")))</f>
        <v>OK</v>
      </c>
      <c r="O136" s="3" t="str">
        <f aca="false">TEXT(D136,"yyyy-mm")</f>
        <v>2025-12</v>
      </c>
      <c r="P136" s="13"/>
    </row>
    <row r="137" customFormat="false" ht="15" hidden="false" customHeight="false" outlineLevel="0" collapsed="false">
      <c r="A137" s="5" t="s">
        <v>28</v>
      </c>
      <c r="B137" s="5" t="n">
        <v>9206</v>
      </c>
      <c r="C137" s="5" t="s">
        <v>187</v>
      </c>
      <c r="D137" s="14" t="n">
        <v>46000</v>
      </c>
      <c r="E137" s="15" t="n">
        <v>-3.79</v>
      </c>
      <c r="F137" s="5" t="s">
        <v>225</v>
      </c>
      <c r="G137" s="5" t="s">
        <v>178</v>
      </c>
      <c r="H137" s="5" t="s">
        <v>189</v>
      </c>
      <c r="I137" s="5" t="s">
        <v>194</v>
      </c>
      <c r="J137" s="5" t="s">
        <v>197</v>
      </c>
      <c r="K137" s="16" t="n">
        <v>-140</v>
      </c>
      <c r="L137" s="5" t="s">
        <v>192</v>
      </c>
      <c r="M137" s="17" t="n">
        <v>36.976911976912</v>
      </c>
      <c r="N137" s="3" t="str">
        <f aca="false">IF(OR(K137="",M137=""),"",IF(C137="STATS_ONLY","stats",IF(ROUND(K137/M137,2)=E137,"OK","CHECK")))</f>
        <v>OK</v>
      </c>
      <c r="O137" s="3" t="str">
        <f aca="false">TEXT(D137,"yyyy-mm")</f>
        <v>2025-12</v>
      </c>
      <c r="P137" s="13"/>
    </row>
    <row r="138" customFormat="false" ht="15" hidden="false" customHeight="false" outlineLevel="0" collapsed="false">
      <c r="A138" s="5" t="s">
        <v>28</v>
      </c>
      <c r="B138" s="5" t="n">
        <v>9207</v>
      </c>
      <c r="C138" s="5" t="s">
        <v>187</v>
      </c>
      <c r="D138" s="14" t="n">
        <v>46001</v>
      </c>
      <c r="E138" s="15" t="n">
        <v>-2.7</v>
      </c>
      <c r="F138" s="5" t="s">
        <v>216</v>
      </c>
      <c r="G138" s="5" t="s">
        <v>178</v>
      </c>
      <c r="H138" s="5" t="s">
        <v>189</v>
      </c>
      <c r="I138" s="5" t="s">
        <v>194</v>
      </c>
      <c r="J138" s="5" t="s">
        <v>195</v>
      </c>
      <c r="K138" s="16" t="n">
        <v>-100</v>
      </c>
      <c r="L138" s="5" t="s">
        <v>192</v>
      </c>
      <c r="M138" s="17" t="n">
        <v>36.976911976912</v>
      </c>
      <c r="N138" s="3" t="str">
        <f aca="false">IF(OR(K138="",M138=""),"",IF(C138="STATS_ONLY","stats",IF(ROUND(K138/M138,2)=E138,"OK","CHECK")))</f>
        <v>OK</v>
      </c>
      <c r="O138" s="3" t="str">
        <f aca="false">TEXT(D138,"yyyy-mm")</f>
        <v>2025-12</v>
      </c>
      <c r="P138" s="13"/>
    </row>
    <row r="139" customFormat="false" ht="15" hidden="false" customHeight="false" outlineLevel="0" collapsed="false">
      <c r="A139" s="5" t="s">
        <v>28</v>
      </c>
      <c r="B139" s="5" t="n">
        <v>9208</v>
      </c>
      <c r="C139" s="5" t="s">
        <v>187</v>
      </c>
      <c r="D139" s="14" t="n">
        <v>46001</v>
      </c>
      <c r="E139" s="15" t="n">
        <v>-3.11</v>
      </c>
      <c r="F139" s="5" t="s">
        <v>208</v>
      </c>
      <c r="G139" s="5" t="s">
        <v>178</v>
      </c>
      <c r="H139" s="5" t="s">
        <v>189</v>
      </c>
      <c r="I139" s="5" t="s">
        <v>194</v>
      </c>
      <c r="J139" s="5" t="s">
        <v>209</v>
      </c>
      <c r="K139" s="16" t="n">
        <v>-115</v>
      </c>
      <c r="L139" s="5" t="s">
        <v>192</v>
      </c>
      <c r="M139" s="17" t="n">
        <v>36.976911976912</v>
      </c>
      <c r="N139" s="3" t="str">
        <f aca="false">IF(OR(K139="",M139=""),"",IF(C139="STATS_ONLY","stats",IF(ROUND(K139/M139,2)=E139,"OK","CHECK")))</f>
        <v>OK</v>
      </c>
      <c r="O139" s="3" t="str">
        <f aca="false">TEXT(D139,"yyyy-mm")</f>
        <v>2025-12</v>
      </c>
      <c r="P139" s="13"/>
    </row>
    <row r="140" customFormat="false" ht="15" hidden="false" customHeight="false" outlineLevel="0" collapsed="false">
      <c r="A140" s="5" t="s">
        <v>28</v>
      </c>
      <c r="B140" s="5" t="n">
        <v>9209</v>
      </c>
      <c r="C140" s="5" t="s">
        <v>187</v>
      </c>
      <c r="D140" s="14" t="n">
        <v>46001</v>
      </c>
      <c r="E140" s="15" t="n">
        <v>-3.38</v>
      </c>
      <c r="F140" s="5" t="s">
        <v>196</v>
      </c>
      <c r="G140" s="5" t="s">
        <v>178</v>
      </c>
      <c r="H140" s="5" t="s">
        <v>189</v>
      </c>
      <c r="I140" s="5" t="s">
        <v>194</v>
      </c>
      <c r="J140" s="5" t="s">
        <v>197</v>
      </c>
      <c r="K140" s="16" t="n">
        <v>-125</v>
      </c>
      <c r="L140" s="5" t="s">
        <v>192</v>
      </c>
      <c r="M140" s="17" t="n">
        <v>36.976911976912</v>
      </c>
      <c r="N140" s="3" t="str">
        <f aca="false">IF(OR(K140="",M140=""),"",IF(C140="STATS_ONLY","stats",IF(ROUND(K140/M140,2)=E140,"OK","CHECK")))</f>
        <v>OK</v>
      </c>
      <c r="O140" s="3" t="str">
        <f aca="false">TEXT(D140,"yyyy-mm")</f>
        <v>2025-12</v>
      </c>
      <c r="P140" s="13"/>
    </row>
    <row r="141" customFormat="false" ht="15" hidden="false" customHeight="false" outlineLevel="0" collapsed="false">
      <c r="A141" s="5" t="s">
        <v>28</v>
      </c>
      <c r="B141" s="5" t="n">
        <v>9210</v>
      </c>
      <c r="C141" s="5" t="s">
        <v>187</v>
      </c>
      <c r="D141" s="14" t="n">
        <v>46002</v>
      </c>
      <c r="E141" s="15" t="n">
        <v>-2.7</v>
      </c>
      <c r="F141" s="5" t="s">
        <v>217</v>
      </c>
      <c r="G141" s="5" t="s">
        <v>178</v>
      </c>
      <c r="H141" s="5" t="s">
        <v>189</v>
      </c>
      <c r="I141" s="5" t="s">
        <v>194</v>
      </c>
      <c r="J141" s="5" t="s">
        <v>209</v>
      </c>
      <c r="K141" s="16" t="n">
        <v>-100</v>
      </c>
      <c r="L141" s="5" t="s">
        <v>192</v>
      </c>
      <c r="M141" s="17" t="n">
        <v>36.976911976912</v>
      </c>
      <c r="N141" s="3" t="str">
        <f aca="false">IF(OR(K141="",M141=""),"",IF(C141="STATS_ONLY","stats",IF(ROUND(K141/M141,2)=E141,"OK","CHECK")))</f>
        <v>OK</v>
      </c>
      <c r="O141" s="3" t="str">
        <f aca="false">TEXT(D141,"yyyy-mm")</f>
        <v>2025-12</v>
      </c>
      <c r="P141" s="13"/>
    </row>
    <row r="142" customFormat="false" ht="15" hidden="false" customHeight="false" outlineLevel="0" collapsed="false">
      <c r="A142" s="5" t="s">
        <v>28</v>
      </c>
      <c r="B142" s="5" t="n">
        <v>9211</v>
      </c>
      <c r="C142" s="5" t="s">
        <v>187</v>
      </c>
      <c r="D142" s="14" t="n">
        <v>46002</v>
      </c>
      <c r="E142" s="15" t="n">
        <v>-2.97</v>
      </c>
      <c r="F142" s="5" t="s">
        <v>247</v>
      </c>
      <c r="G142" s="5" t="s">
        <v>178</v>
      </c>
      <c r="H142" s="5" t="s">
        <v>189</v>
      </c>
      <c r="I142" s="5" t="s">
        <v>194</v>
      </c>
      <c r="J142" s="5" t="s">
        <v>197</v>
      </c>
      <c r="K142" s="16" t="n">
        <v>-110</v>
      </c>
      <c r="L142" s="5" t="s">
        <v>192</v>
      </c>
      <c r="M142" s="17" t="n">
        <v>36.976911976912</v>
      </c>
      <c r="N142" s="3" t="str">
        <f aca="false">IF(OR(K142="",M142=""),"",IF(C142="STATS_ONLY","stats",IF(ROUND(K142/M142,2)=E142,"OK","CHECK")))</f>
        <v>OK</v>
      </c>
      <c r="O142" s="3" t="str">
        <f aca="false">TEXT(D142,"yyyy-mm")</f>
        <v>2025-12</v>
      </c>
      <c r="P142" s="13"/>
    </row>
    <row r="143" customFormat="false" ht="15" hidden="false" customHeight="false" outlineLevel="0" collapsed="false">
      <c r="A143" s="5" t="s">
        <v>28</v>
      </c>
      <c r="B143" s="5" t="n">
        <v>9212</v>
      </c>
      <c r="C143" s="5" t="s">
        <v>187</v>
      </c>
      <c r="D143" s="14" t="n">
        <v>46002</v>
      </c>
      <c r="E143" s="15" t="n">
        <v>-2.16</v>
      </c>
      <c r="F143" s="5" t="s">
        <v>218</v>
      </c>
      <c r="G143" s="5" t="s">
        <v>178</v>
      </c>
      <c r="H143" s="5" t="s">
        <v>189</v>
      </c>
      <c r="I143" s="5" t="s">
        <v>194</v>
      </c>
      <c r="J143" s="5" t="s">
        <v>199</v>
      </c>
      <c r="K143" s="16" t="n">
        <v>-80</v>
      </c>
      <c r="L143" s="5" t="s">
        <v>192</v>
      </c>
      <c r="M143" s="17" t="n">
        <v>36.976911976912</v>
      </c>
      <c r="N143" s="3" t="str">
        <f aca="false">IF(OR(K143="",M143=""),"",IF(C143="STATS_ONLY","stats",IF(ROUND(K143/M143,2)=E143,"OK","CHECK")))</f>
        <v>OK</v>
      </c>
      <c r="O143" s="3" t="str">
        <f aca="false">TEXT(D143,"yyyy-mm")</f>
        <v>2025-12</v>
      </c>
      <c r="P143" s="13"/>
    </row>
    <row r="144" customFormat="false" ht="15" hidden="false" customHeight="false" outlineLevel="0" collapsed="false">
      <c r="A144" s="5" t="s">
        <v>28</v>
      </c>
      <c r="B144" s="5" t="n">
        <v>9213</v>
      </c>
      <c r="C144" s="5" t="s">
        <v>187</v>
      </c>
      <c r="D144" s="14" t="n">
        <v>46003</v>
      </c>
      <c r="E144" s="15" t="n">
        <v>-2.3</v>
      </c>
      <c r="F144" s="5" t="s">
        <v>193</v>
      </c>
      <c r="G144" s="5" t="s">
        <v>178</v>
      </c>
      <c r="H144" s="5" t="s">
        <v>189</v>
      </c>
      <c r="I144" s="5" t="s">
        <v>194</v>
      </c>
      <c r="J144" s="5" t="s">
        <v>195</v>
      </c>
      <c r="K144" s="16" t="n">
        <v>-85</v>
      </c>
      <c r="L144" s="5" t="s">
        <v>192</v>
      </c>
      <c r="M144" s="17" t="n">
        <v>36.976911976912</v>
      </c>
      <c r="N144" s="3" t="str">
        <f aca="false">IF(OR(K144="",M144=""),"",IF(C144="STATS_ONLY","stats",IF(ROUND(K144/M144,2)=E144,"OK","CHECK")))</f>
        <v>OK</v>
      </c>
      <c r="O144" s="3" t="str">
        <f aca="false">TEXT(D144,"yyyy-mm")</f>
        <v>2025-12</v>
      </c>
      <c r="P144" s="13"/>
    </row>
    <row r="145" customFormat="false" ht="15" hidden="false" customHeight="false" outlineLevel="0" collapsed="false">
      <c r="A145" s="5" t="s">
        <v>28</v>
      </c>
      <c r="B145" s="5" t="n">
        <v>9214</v>
      </c>
      <c r="C145" s="5" t="s">
        <v>187</v>
      </c>
      <c r="D145" s="14" t="n">
        <v>46003</v>
      </c>
      <c r="E145" s="15" t="n">
        <v>-1.76</v>
      </c>
      <c r="F145" s="5" t="s">
        <v>232</v>
      </c>
      <c r="G145" s="5" t="s">
        <v>178</v>
      </c>
      <c r="H145" s="5" t="s">
        <v>189</v>
      </c>
      <c r="I145" s="5" t="s">
        <v>194</v>
      </c>
      <c r="J145" s="5" t="s">
        <v>209</v>
      </c>
      <c r="K145" s="16" t="n">
        <v>-65</v>
      </c>
      <c r="L145" s="5" t="s">
        <v>192</v>
      </c>
      <c r="M145" s="17" t="n">
        <v>36.976911976912</v>
      </c>
      <c r="N145" s="3" t="str">
        <f aca="false">IF(OR(K145="",M145=""),"",IF(C145="STATS_ONLY","stats",IF(ROUND(K145/M145,2)=E145,"OK","CHECK")))</f>
        <v>OK</v>
      </c>
      <c r="O145" s="3" t="str">
        <f aca="false">TEXT(D145,"yyyy-mm")</f>
        <v>2025-12</v>
      </c>
      <c r="P145" s="13"/>
    </row>
    <row r="146" customFormat="false" ht="15" hidden="false" customHeight="false" outlineLevel="0" collapsed="false">
      <c r="A146" s="5" t="s">
        <v>28</v>
      </c>
      <c r="B146" s="5" t="n">
        <v>9215</v>
      </c>
      <c r="C146" s="5" t="s">
        <v>187</v>
      </c>
      <c r="D146" s="14" t="n">
        <v>46003</v>
      </c>
      <c r="E146" s="15" t="n">
        <v>-1.76</v>
      </c>
      <c r="F146" s="5" t="s">
        <v>218</v>
      </c>
      <c r="G146" s="5" t="s">
        <v>178</v>
      </c>
      <c r="H146" s="5" t="s">
        <v>189</v>
      </c>
      <c r="I146" s="5" t="s">
        <v>194</v>
      </c>
      <c r="J146" s="5" t="s">
        <v>199</v>
      </c>
      <c r="K146" s="16" t="n">
        <v>-65</v>
      </c>
      <c r="L146" s="5" t="s">
        <v>192</v>
      </c>
      <c r="M146" s="17" t="n">
        <v>36.976911976912</v>
      </c>
      <c r="N146" s="3" t="str">
        <f aca="false">IF(OR(K146="",M146=""),"",IF(C146="STATS_ONLY","stats",IF(ROUND(K146/M146,2)=E146,"OK","CHECK")))</f>
        <v>OK</v>
      </c>
      <c r="O146" s="3" t="str">
        <f aca="false">TEXT(D146,"yyyy-mm")</f>
        <v>2025-12</v>
      </c>
      <c r="P146" s="13"/>
    </row>
    <row r="147" customFormat="false" ht="15" hidden="false" customHeight="false" outlineLevel="0" collapsed="false">
      <c r="A147" s="5" t="s">
        <v>28</v>
      </c>
      <c r="B147" s="5" t="n">
        <v>9216</v>
      </c>
      <c r="C147" s="5" t="s">
        <v>187</v>
      </c>
      <c r="D147" s="14" t="n">
        <v>46003</v>
      </c>
      <c r="E147" s="15" t="n">
        <v>-2.57</v>
      </c>
      <c r="F147" s="5" t="s">
        <v>251</v>
      </c>
      <c r="G147" s="5" t="s">
        <v>178</v>
      </c>
      <c r="H147" s="5" t="s">
        <v>189</v>
      </c>
      <c r="I147" s="5" t="s">
        <v>194</v>
      </c>
      <c r="J147" s="5" t="s">
        <v>252</v>
      </c>
      <c r="K147" s="16" t="n">
        <v>-95</v>
      </c>
      <c r="L147" s="5" t="s">
        <v>192</v>
      </c>
      <c r="M147" s="17" t="n">
        <v>36.976911976912</v>
      </c>
      <c r="N147" s="3" t="str">
        <f aca="false">IF(OR(K147="",M147=""),"",IF(C147="STATS_ONLY","stats",IF(ROUND(K147/M147,2)=E147,"OK","CHECK")))</f>
        <v>OK</v>
      </c>
      <c r="O147" s="3" t="str">
        <f aca="false">TEXT(D147,"yyyy-mm")</f>
        <v>2025-12</v>
      </c>
      <c r="P147" s="13"/>
    </row>
    <row r="148" customFormat="false" ht="15" hidden="false" customHeight="false" outlineLevel="0" collapsed="false">
      <c r="A148" s="5" t="s">
        <v>28</v>
      </c>
      <c r="B148" s="5" t="n">
        <v>9217</v>
      </c>
      <c r="C148" s="5" t="s">
        <v>187</v>
      </c>
      <c r="D148" s="14" t="n">
        <v>46003</v>
      </c>
      <c r="E148" s="15" t="n">
        <v>-8.38</v>
      </c>
      <c r="F148" s="5" t="s">
        <v>236</v>
      </c>
      <c r="G148" s="5" t="s">
        <v>178</v>
      </c>
      <c r="H148" s="5" t="s">
        <v>189</v>
      </c>
      <c r="I148" s="5" t="s">
        <v>194</v>
      </c>
      <c r="J148" s="5" t="s">
        <v>237</v>
      </c>
      <c r="K148" s="16" t="n">
        <v>-310</v>
      </c>
      <c r="L148" s="5" t="s">
        <v>192</v>
      </c>
      <c r="M148" s="17" t="n">
        <v>36.976911976912</v>
      </c>
      <c r="N148" s="3" t="str">
        <f aca="false">IF(OR(K148="",M148=""),"",IF(C148="STATS_ONLY","stats",IF(ROUND(K148/M148,2)=E148,"OK","CHECK")))</f>
        <v>OK</v>
      </c>
      <c r="O148" s="3" t="str">
        <f aca="false">TEXT(D148,"yyyy-mm")</f>
        <v>2025-12</v>
      </c>
      <c r="P148" s="13"/>
    </row>
    <row r="149" customFormat="false" ht="15" hidden="false" customHeight="false" outlineLevel="0" collapsed="false">
      <c r="A149" s="5" t="s">
        <v>28</v>
      </c>
      <c r="B149" s="5" t="n">
        <v>9218</v>
      </c>
      <c r="C149" s="5" t="s">
        <v>187</v>
      </c>
      <c r="D149" s="14" t="n">
        <v>46003</v>
      </c>
      <c r="E149" s="15" t="n">
        <v>-6.49</v>
      </c>
      <c r="F149" s="5" t="s">
        <v>256</v>
      </c>
      <c r="G149" s="5" t="s">
        <v>178</v>
      </c>
      <c r="H149" s="5" t="s">
        <v>189</v>
      </c>
      <c r="I149" s="5" t="s">
        <v>194</v>
      </c>
      <c r="J149" s="5" t="s">
        <v>206</v>
      </c>
      <c r="K149" s="16" t="n">
        <v>-240</v>
      </c>
      <c r="L149" s="5" t="s">
        <v>192</v>
      </c>
      <c r="M149" s="17" t="n">
        <v>36.976911976912</v>
      </c>
      <c r="N149" s="3" t="str">
        <f aca="false">IF(OR(K149="",M149=""),"",IF(C149="STATS_ONLY","stats",IF(ROUND(K149/M149,2)=E149,"OK","CHECK")))</f>
        <v>OK</v>
      </c>
      <c r="O149" s="3" t="str">
        <f aca="false">TEXT(D149,"yyyy-mm")</f>
        <v>2025-12</v>
      </c>
      <c r="P149" s="13"/>
    </row>
    <row r="150" customFormat="false" ht="15" hidden="false" customHeight="false" outlineLevel="0" collapsed="false">
      <c r="A150" s="5" t="s">
        <v>28</v>
      </c>
      <c r="B150" s="5" t="n">
        <v>9219</v>
      </c>
      <c r="C150" s="5" t="s">
        <v>187</v>
      </c>
      <c r="D150" s="14" t="n">
        <v>46004</v>
      </c>
      <c r="E150" s="15" t="n">
        <v>-2.03</v>
      </c>
      <c r="F150" s="5" t="s">
        <v>227</v>
      </c>
      <c r="G150" s="5" t="s">
        <v>178</v>
      </c>
      <c r="H150" s="5" t="s">
        <v>189</v>
      </c>
      <c r="I150" s="5" t="s">
        <v>194</v>
      </c>
      <c r="J150" s="5" t="s">
        <v>195</v>
      </c>
      <c r="K150" s="16" t="n">
        <v>-75</v>
      </c>
      <c r="L150" s="5" t="s">
        <v>192</v>
      </c>
      <c r="M150" s="17" t="n">
        <v>36.976911976912</v>
      </c>
      <c r="N150" s="3" t="str">
        <f aca="false">IF(OR(K150="",M150=""),"",IF(C150="STATS_ONLY","stats",IF(ROUND(K150/M150,2)=E150,"OK","CHECK")))</f>
        <v>OK</v>
      </c>
      <c r="O150" s="3" t="str">
        <f aca="false">TEXT(D150,"yyyy-mm")</f>
        <v>2025-12</v>
      </c>
      <c r="P150" s="13"/>
    </row>
    <row r="151" customFormat="false" ht="15" hidden="false" customHeight="false" outlineLevel="0" collapsed="false">
      <c r="A151" s="5" t="s">
        <v>28</v>
      </c>
      <c r="B151" s="5" t="n">
        <v>9220</v>
      </c>
      <c r="C151" s="5" t="s">
        <v>187</v>
      </c>
      <c r="D151" s="14" t="n">
        <v>46004</v>
      </c>
      <c r="E151" s="15" t="n">
        <v>-2.3</v>
      </c>
      <c r="F151" s="5" t="s">
        <v>221</v>
      </c>
      <c r="G151" s="5" t="s">
        <v>178</v>
      </c>
      <c r="H151" s="5" t="s">
        <v>189</v>
      </c>
      <c r="I151" s="5" t="s">
        <v>194</v>
      </c>
      <c r="J151" s="5" t="s">
        <v>199</v>
      </c>
      <c r="K151" s="16" t="n">
        <v>-85</v>
      </c>
      <c r="L151" s="5" t="s">
        <v>192</v>
      </c>
      <c r="M151" s="17" t="n">
        <v>36.976911976912</v>
      </c>
      <c r="N151" s="3" t="str">
        <f aca="false">IF(OR(K151="",M151=""),"",IF(C151="STATS_ONLY","stats",IF(ROUND(K151/M151,2)=E151,"OK","CHECK")))</f>
        <v>OK</v>
      </c>
      <c r="O151" s="3" t="str">
        <f aca="false">TEXT(D151,"yyyy-mm")</f>
        <v>2025-12</v>
      </c>
      <c r="P151" s="13"/>
    </row>
    <row r="152" customFormat="false" ht="15" hidden="false" customHeight="false" outlineLevel="0" collapsed="false">
      <c r="A152" s="5" t="s">
        <v>28</v>
      </c>
      <c r="B152" s="5" t="n">
        <v>9221</v>
      </c>
      <c r="C152" s="5" t="s">
        <v>187</v>
      </c>
      <c r="D152" s="14" t="n">
        <v>46004</v>
      </c>
      <c r="E152" s="15" t="n">
        <v>-2.3</v>
      </c>
      <c r="F152" s="5" t="s">
        <v>234</v>
      </c>
      <c r="G152" s="5" t="s">
        <v>178</v>
      </c>
      <c r="H152" s="5" t="s">
        <v>189</v>
      </c>
      <c r="I152" s="5" t="s">
        <v>194</v>
      </c>
      <c r="J152" s="5" t="s">
        <v>235</v>
      </c>
      <c r="K152" s="16" t="n">
        <v>-85</v>
      </c>
      <c r="L152" s="5" t="s">
        <v>192</v>
      </c>
      <c r="M152" s="17" t="n">
        <v>36.976911976912</v>
      </c>
      <c r="N152" s="3" t="str">
        <f aca="false">IF(OR(K152="",M152=""),"",IF(C152="STATS_ONLY","stats",IF(ROUND(K152/M152,2)=E152,"OK","CHECK")))</f>
        <v>OK</v>
      </c>
      <c r="O152" s="3" t="str">
        <f aca="false">TEXT(D152,"yyyy-mm")</f>
        <v>2025-12</v>
      </c>
      <c r="P152" s="13"/>
    </row>
    <row r="153" customFormat="false" ht="15" hidden="false" customHeight="false" outlineLevel="0" collapsed="false">
      <c r="A153" s="5" t="s">
        <v>28</v>
      </c>
      <c r="B153" s="5" t="n">
        <v>9222</v>
      </c>
      <c r="C153" s="5" t="s">
        <v>187</v>
      </c>
      <c r="D153" s="14" t="n">
        <v>46004</v>
      </c>
      <c r="E153" s="15" t="n">
        <v>-1.62</v>
      </c>
      <c r="F153" s="5" t="s">
        <v>223</v>
      </c>
      <c r="G153" s="5" t="s">
        <v>178</v>
      </c>
      <c r="H153" s="5" t="s">
        <v>189</v>
      </c>
      <c r="I153" s="5" t="s">
        <v>194</v>
      </c>
      <c r="J153" s="5" t="s">
        <v>206</v>
      </c>
      <c r="K153" s="16" t="n">
        <v>-60</v>
      </c>
      <c r="L153" s="5" t="s">
        <v>192</v>
      </c>
      <c r="M153" s="17" t="n">
        <v>36.976911976912</v>
      </c>
      <c r="N153" s="3" t="str">
        <f aca="false">IF(OR(K153="",M153=""),"",IF(C153="STATS_ONLY","stats",IF(ROUND(K153/M153,2)=E153,"OK","CHECK")))</f>
        <v>OK</v>
      </c>
      <c r="O153" s="3" t="str">
        <f aca="false">TEXT(D153,"yyyy-mm")</f>
        <v>2025-12</v>
      </c>
      <c r="P153" s="13"/>
    </row>
    <row r="154" customFormat="false" ht="15" hidden="false" customHeight="false" outlineLevel="0" collapsed="false">
      <c r="A154" s="5" t="s">
        <v>28</v>
      </c>
      <c r="B154" s="5" t="n">
        <v>9223</v>
      </c>
      <c r="C154" s="5" t="s">
        <v>187</v>
      </c>
      <c r="D154" s="14" t="n">
        <v>46005</v>
      </c>
      <c r="E154" s="15" t="n">
        <v>-1.89</v>
      </c>
      <c r="F154" s="5" t="s">
        <v>224</v>
      </c>
      <c r="G154" s="5" t="s">
        <v>178</v>
      </c>
      <c r="H154" s="5" t="s">
        <v>189</v>
      </c>
      <c r="I154" s="5" t="s">
        <v>194</v>
      </c>
      <c r="J154" s="5" t="s">
        <v>195</v>
      </c>
      <c r="K154" s="16" t="n">
        <v>-70</v>
      </c>
      <c r="L154" s="5" t="s">
        <v>192</v>
      </c>
      <c r="M154" s="17" t="n">
        <v>36.976911976912</v>
      </c>
      <c r="N154" s="3" t="str">
        <f aca="false">IF(OR(K154="",M154=""),"",IF(C154="STATS_ONLY","stats",IF(ROUND(K154/M154,2)=E154,"OK","CHECK")))</f>
        <v>OK</v>
      </c>
      <c r="O154" s="3" t="str">
        <f aca="false">TEXT(D154,"yyyy-mm")</f>
        <v>2025-12</v>
      </c>
      <c r="P154" s="13"/>
    </row>
    <row r="155" customFormat="false" ht="15" hidden="false" customHeight="false" outlineLevel="0" collapsed="false">
      <c r="A155" s="5" t="s">
        <v>28</v>
      </c>
      <c r="B155" s="5" t="n">
        <v>9224</v>
      </c>
      <c r="C155" s="5" t="s">
        <v>187</v>
      </c>
      <c r="D155" s="14" t="n">
        <v>46005</v>
      </c>
      <c r="E155" s="15" t="n">
        <v>-3.65</v>
      </c>
      <c r="F155" s="5" t="s">
        <v>246</v>
      </c>
      <c r="G155" s="5" t="s">
        <v>178</v>
      </c>
      <c r="H155" s="5" t="s">
        <v>189</v>
      </c>
      <c r="I155" s="5" t="s">
        <v>194</v>
      </c>
      <c r="J155" s="5" t="s">
        <v>209</v>
      </c>
      <c r="K155" s="16" t="n">
        <v>-135</v>
      </c>
      <c r="L155" s="5" t="s">
        <v>192</v>
      </c>
      <c r="M155" s="17" t="n">
        <v>36.976911976912</v>
      </c>
      <c r="N155" s="3" t="str">
        <f aca="false">IF(OR(K155="",M155=""),"",IF(C155="STATS_ONLY","stats",IF(ROUND(K155/M155,2)=E155,"OK","CHECK")))</f>
        <v>OK</v>
      </c>
      <c r="O155" s="3" t="str">
        <f aca="false">TEXT(D155,"yyyy-mm")</f>
        <v>2025-12</v>
      </c>
      <c r="P155" s="13"/>
    </row>
    <row r="156" customFormat="false" ht="15" hidden="false" customHeight="false" outlineLevel="0" collapsed="false">
      <c r="A156" s="5" t="s">
        <v>28</v>
      </c>
      <c r="B156" s="5" t="n">
        <v>9225</v>
      </c>
      <c r="C156" s="5" t="s">
        <v>187</v>
      </c>
      <c r="D156" s="14" t="n">
        <v>46005</v>
      </c>
      <c r="E156" s="15" t="n">
        <v>-1.89</v>
      </c>
      <c r="F156" s="5" t="s">
        <v>218</v>
      </c>
      <c r="G156" s="5" t="s">
        <v>178</v>
      </c>
      <c r="H156" s="5" t="s">
        <v>189</v>
      </c>
      <c r="I156" s="5" t="s">
        <v>194</v>
      </c>
      <c r="J156" s="5" t="s">
        <v>199</v>
      </c>
      <c r="K156" s="16" t="n">
        <v>-70</v>
      </c>
      <c r="L156" s="5" t="s">
        <v>192</v>
      </c>
      <c r="M156" s="17" t="n">
        <v>36.976911976912</v>
      </c>
      <c r="N156" s="3" t="str">
        <f aca="false">IF(OR(K156="",M156=""),"",IF(C156="STATS_ONLY","stats",IF(ROUND(K156/M156,2)=E156,"OK","CHECK")))</f>
        <v>OK</v>
      </c>
      <c r="O156" s="3" t="str">
        <f aca="false">TEXT(D156,"yyyy-mm")</f>
        <v>2025-12</v>
      </c>
      <c r="P156" s="13"/>
    </row>
    <row r="157" customFormat="false" ht="15" hidden="false" customHeight="false" outlineLevel="0" collapsed="false">
      <c r="A157" s="5" t="s">
        <v>28</v>
      </c>
      <c r="B157" s="5" t="n">
        <v>9226</v>
      </c>
      <c r="C157" s="5" t="s">
        <v>187</v>
      </c>
      <c r="D157" s="14" t="n">
        <v>46006</v>
      </c>
      <c r="E157" s="15" t="n">
        <v>-2.57</v>
      </c>
      <c r="F157" s="5" t="s">
        <v>217</v>
      </c>
      <c r="G157" s="5" t="s">
        <v>178</v>
      </c>
      <c r="H157" s="5" t="s">
        <v>189</v>
      </c>
      <c r="I157" s="5" t="s">
        <v>194</v>
      </c>
      <c r="J157" s="5" t="s">
        <v>209</v>
      </c>
      <c r="K157" s="16" t="n">
        <v>-95</v>
      </c>
      <c r="L157" s="5" t="s">
        <v>192</v>
      </c>
      <c r="M157" s="17" t="n">
        <v>36.976911976912</v>
      </c>
      <c r="N157" s="3" t="str">
        <f aca="false">IF(OR(K157="",M157=""),"",IF(C157="STATS_ONLY","stats",IF(ROUND(K157/M157,2)=E157,"OK","CHECK")))</f>
        <v>OK</v>
      </c>
      <c r="O157" s="3" t="str">
        <f aca="false">TEXT(D157,"yyyy-mm")</f>
        <v>2025-12</v>
      </c>
      <c r="P157" s="13"/>
    </row>
    <row r="158" customFormat="false" ht="15" hidden="false" customHeight="false" outlineLevel="0" collapsed="false">
      <c r="A158" s="5" t="s">
        <v>28</v>
      </c>
      <c r="B158" s="5" t="n">
        <v>9227</v>
      </c>
      <c r="C158" s="5" t="s">
        <v>187</v>
      </c>
      <c r="D158" s="14" t="n">
        <v>46006</v>
      </c>
      <c r="E158" s="15" t="n">
        <v>-3.79</v>
      </c>
      <c r="F158" s="5" t="s">
        <v>210</v>
      </c>
      <c r="G158" s="5" t="s">
        <v>178</v>
      </c>
      <c r="H158" s="5" t="s">
        <v>189</v>
      </c>
      <c r="I158" s="5" t="s">
        <v>194</v>
      </c>
      <c r="J158" s="5" t="s">
        <v>197</v>
      </c>
      <c r="K158" s="16" t="n">
        <v>-140</v>
      </c>
      <c r="L158" s="5" t="s">
        <v>192</v>
      </c>
      <c r="M158" s="17" t="n">
        <v>36.976911976912</v>
      </c>
      <c r="N158" s="3" t="str">
        <f aca="false">IF(OR(K158="",M158=""),"",IF(C158="STATS_ONLY","stats",IF(ROUND(K158/M158,2)=E158,"OK","CHECK")))</f>
        <v>OK</v>
      </c>
      <c r="O158" s="3" t="str">
        <f aca="false">TEXT(D158,"yyyy-mm")</f>
        <v>2025-12</v>
      </c>
      <c r="P158" s="13"/>
    </row>
    <row r="159" customFormat="false" ht="15" hidden="false" customHeight="false" outlineLevel="0" collapsed="false">
      <c r="A159" s="5" t="s">
        <v>28</v>
      </c>
      <c r="B159" s="5" t="n">
        <v>9228</v>
      </c>
      <c r="C159" s="5" t="s">
        <v>187</v>
      </c>
      <c r="D159" s="14" t="n">
        <v>46006</v>
      </c>
      <c r="E159" s="15" t="n">
        <v>-1.22</v>
      </c>
      <c r="F159" s="5" t="s">
        <v>254</v>
      </c>
      <c r="G159" s="5" t="s">
        <v>178</v>
      </c>
      <c r="H159" s="5" t="s">
        <v>189</v>
      </c>
      <c r="I159" s="5" t="s">
        <v>194</v>
      </c>
      <c r="J159" s="5" t="s">
        <v>181</v>
      </c>
      <c r="K159" s="16" t="n">
        <v>-45</v>
      </c>
      <c r="L159" s="5" t="s">
        <v>192</v>
      </c>
      <c r="M159" s="17" t="n">
        <v>36.976911976912</v>
      </c>
      <c r="N159" s="3" t="str">
        <f aca="false">IF(OR(K159="",M159=""),"",IF(C159="STATS_ONLY","stats",IF(ROUND(K159/M159,2)=E159,"OK","CHECK")))</f>
        <v>OK</v>
      </c>
      <c r="O159" s="3" t="str">
        <f aca="false">TEXT(D159,"yyyy-mm")</f>
        <v>2025-12</v>
      </c>
      <c r="P159" s="13"/>
    </row>
    <row r="160" customFormat="false" ht="15" hidden="false" customHeight="false" outlineLevel="0" collapsed="false">
      <c r="A160" s="5" t="s">
        <v>28</v>
      </c>
      <c r="B160" s="5" t="n">
        <v>9229</v>
      </c>
      <c r="C160" s="5" t="s">
        <v>187</v>
      </c>
      <c r="D160" s="14" t="n">
        <v>46006</v>
      </c>
      <c r="E160" s="15" t="n">
        <v>-3.11</v>
      </c>
      <c r="F160" s="5" t="s">
        <v>228</v>
      </c>
      <c r="G160" s="5" t="s">
        <v>178</v>
      </c>
      <c r="H160" s="5" t="s">
        <v>189</v>
      </c>
      <c r="I160" s="5" t="s">
        <v>194</v>
      </c>
      <c r="J160" s="5" t="s">
        <v>229</v>
      </c>
      <c r="K160" s="16" t="n">
        <v>-115</v>
      </c>
      <c r="L160" s="5" t="s">
        <v>192</v>
      </c>
      <c r="M160" s="17" t="n">
        <v>36.976911976912</v>
      </c>
      <c r="N160" s="3" t="str">
        <f aca="false">IF(OR(K160="",M160=""),"",IF(C160="STATS_ONLY","stats",IF(ROUND(K160/M160,2)=E160,"OK","CHECK")))</f>
        <v>OK</v>
      </c>
      <c r="O160" s="3" t="str">
        <f aca="false">TEXT(D160,"yyyy-mm")</f>
        <v>2025-12</v>
      </c>
      <c r="P160" s="13"/>
    </row>
    <row r="161" customFormat="false" ht="15" hidden="false" customHeight="false" outlineLevel="0" collapsed="false">
      <c r="A161" s="5" t="s">
        <v>28</v>
      </c>
      <c r="B161" s="5" t="n">
        <v>9230</v>
      </c>
      <c r="C161" s="5" t="s">
        <v>187</v>
      </c>
      <c r="D161" s="14" t="n">
        <v>46007</v>
      </c>
      <c r="E161" s="15" t="n">
        <v>-3.65</v>
      </c>
      <c r="F161" s="5" t="s">
        <v>246</v>
      </c>
      <c r="G161" s="5" t="s">
        <v>178</v>
      </c>
      <c r="H161" s="5" t="s">
        <v>189</v>
      </c>
      <c r="I161" s="5" t="s">
        <v>194</v>
      </c>
      <c r="J161" s="5" t="s">
        <v>209</v>
      </c>
      <c r="K161" s="16" t="n">
        <v>-135</v>
      </c>
      <c r="L161" s="5" t="s">
        <v>192</v>
      </c>
      <c r="M161" s="17" t="n">
        <v>36.976911976912</v>
      </c>
      <c r="N161" s="3" t="str">
        <f aca="false">IF(OR(K161="",M161=""),"",IF(C161="STATS_ONLY","stats",IF(ROUND(K161/M161,2)=E161,"OK","CHECK")))</f>
        <v>OK</v>
      </c>
      <c r="O161" s="3" t="str">
        <f aca="false">TEXT(D161,"yyyy-mm")</f>
        <v>2025-12</v>
      </c>
      <c r="P161" s="13"/>
    </row>
    <row r="162" customFormat="false" ht="15" hidden="false" customHeight="false" outlineLevel="0" collapsed="false">
      <c r="A162" s="5" t="s">
        <v>28</v>
      </c>
      <c r="B162" s="5" t="n">
        <v>9231</v>
      </c>
      <c r="C162" s="5" t="s">
        <v>187</v>
      </c>
      <c r="D162" s="14" t="n">
        <v>46007</v>
      </c>
      <c r="E162" s="15" t="n">
        <v>-4.73</v>
      </c>
      <c r="F162" s="5" t="s">
        <v>196</v>
      </c>
      <c r="G162" s="5" t="s">
        <v>178</v>
      </c>
      <c r="H162" s="5" t="s">
        <v>189</v>
      </c>
      <c r="I162" s="5" t="s">
        <v>194</v>
      </c>
      <c r="J162" s="5" t="s">
        <v>197</v>
      </c>
      <c r="K162" s="16" t="n">
        <v>-175</v>
      </c>
      <c r="L162" s="5" t="s">
        <v>192</v>
      </c>
      <c r="M162" s="17" t="n">
        <v>36.976911976912</v>
      </c>
      <c r="N162" s="3" t="str">
        <f aca="false">IF(OR(K162="",M162=""),"",IF(C162="STATS_ONLY","stats",IF(ROUND(K162/M162,2)=E162,"OK","CHECK")))</f>
        <v>OK</v>
      </c>
      <c r="O162" s="3" t="str">
        <f aca="false">TEXT(D162,"yyyy-mm")</f>
        <v>2025-12</v>
      </c>
      <c r="P162" s="13"/>
    </row>
    <row r="163" customFormat="false" ht="15" hidden="false" customHeight="false" outlineLevel="0" collapsed="false">
      <c r="A163" s="5" t="s">
        <v>28</v>
      </c>
      <c r="B163" s="5" t="n">
        <v>9232</v>
      </c>
      <c r="C163" s="5" t="s">
        <v>187</v>
      </c>
      <c r="D163" s="14" t="n">
        <v>46007</v>
      </c>
      <c r="E163" s="15" t="n">
        <v>-1.62</v>
      </c>
      <c r="F163" s="5" t="s">
        <v>212</v>
      </c>
      <c r="G163" s="5" t="s">
        <v>178</v>
      </c>
      <c r="H163" s="5" t="s">
        <v>189</v>
      </c>
      <c r="I163" s="5" t="s">
        <v>194</v>
      </c>
      <c r="J163" s="5" t="s">
        <v>181</v>
      </c>
      <c r="K163" s="16" t="n">
        <v>-60</v>
      </c>
      <c r="L163" s="5" t="s">
        <v>192</v>
      </c>
      <c r="M163" s="17" t="n">
        <v>36.976911976912</v>
      </c>
      <c r="N163" s="3" t="str">
        <f aca="false">IF(OR(K163="",M163=""),"",IF(C163="STATS_ONLY","stats",IF(ROUND(K163/M163,2)=E163,"OK","CHECK")))</f>
        <v>OK</v>
      </c>
      <c r="O163" s="3" t="str">
        <f aca="false">TEXT(D163,"yyyy-mm")</f>
        <v>2025-12</v>
      </c>
      <c r="P163" s="13"/>
    </row>
    <row r="164" customFormat="false" ht="15" hidden="false" customHeight="false" outlineLevel="0" collapsed="false">
      <c r="A164" s="5" t="s">
        <v>28</v>
      </c>
      <c r="B164" s="5" t="n">
        <v>9233</v>
      </c>
      <c r="C164" s="5" t="s">
        <v>187</v>
      </c>
      <c r="D164" s="14" t="n">
        <v>46007</v>
      </c>
      <c r="E164" s="15" t="n">
        <v>-1.22</v>
      </c>
      <c r="F164" s="5" t="s">
        <v>257</v>
      </c>
      <c r="G164" s="5" t="s">
        <v>178</v>
      </c>
      <c r="H164" s="5" t="s">
        <v>189</v>
      </c>
      <c r="I164" s="5" t="s">
        <v>194</v>
      </c>
      <c r="J164" s="5" t="s">
        <v>206</v>
      </c>
      <c r="K164" s="16" t="n">
        <v>-45</v>
      </c>
      <c r="L164" s="5" t="s">
        <v>192</v>
      </c>
      <c r="M164" s="17" t="n">
        <v>36.976911976912</v>
      </c>
      <c r="N164" s="3" t="str">
        <f aca="false">IF(OR(K164="",M164=""),"",IF(C164="STATS_ONLY","stats",IF(ROUND(K164/M164,2)=E164,"OK","CHECK")))</f>
        <v>OK</v>
      </c>
      <c r="O164" s="3" t="str">
        <f aca="false">TEXT(D164,"yyyy-mm")</f>
        <v>2025-12</v>
      </c>
      <c r="P164" s="13"/>
    </row>
    <row r="165" customFormat="false" ht="15" hidden="false" customHeight="false" outlineLevel="0" collapsed="false">
      <c r="A165" s="5" t="s">
        <v>28</v>
      </c>
      <c r="B165" s="5" t="n">
        <v>9234</v>
      </c>
      <c r="C165" s="5" t="s">
        <v>187</v>
      </c>
      <c r="D165" s="14" t="n">
        <v>46008</v>
      </c>
      <c r="E165" s="15" t="n">
        <v>-1.89</v>
      </c>
      <c r="F165" s="5" t="s">
        <v>211</v>
      </c>
      <c r="G165" s="5" t="s">
        <v>178</v>
      </c>
      <c r="H165" s="5" t="s">
        <v>189</v>
      </c>
      <c r="I165" s="5" t="s">
        <v>194</v>
      </c>
      <c r="J165" s="5" t="s">
        <v>199</v>
      </c>
      <c r="K165" s="16" t="n">
        <v>-70</v>
      </c>
      <c r="L165" s="5" t="s">
        <v>192</v>
      </c>
      <c r="M165" s="17" t="n">
        <v>36.976911976912</v>
      </c>
      <c r="N165" s="3" t="str">
        <f aca="false">IF(OR(K165="",M165=""),"",IF(C165="STATS_ONLY","stats",IF(ROUND(K165/M165,2)=E165,"OK","CHECK")))</f>
        <v>OK</v>
      </c>
      <c r="O165" s="3" t="str">
        <f aca="false">TEXT(D165,"yyyy-mm")</f>
        <v>2025-12</v>
      </c>
      <c r="P165" s="13"/>
    </row>
    <row r="166" customFormat="false" ht="15" hidden="false" customHeight="false" outlineLevel="0" collapsed="false">
      <c r="A166" s="5" t="s">
        <v>28</v>
      </c>
      <c r="B166" s="5" t="n">
        <v>9235</v>
      </c>
      <c r="C166" s="5" t="s">
        <v>187</v>
      </c>
      <c r="D166" s="14" t="n">
        <v>46009</v>
      </c>
      <c r="E166" s="15" t="n">
        <v>-2.97</v>
      </c>
      <c r="F166" s="5" t="s">
        <v>217</v>
      </c>
      <c r="G166" s="5" t="s">
        <v>178</v>
      </c>
      <c r="H166" s="5" t="s">
        <v>189</v>
      </c>
      <c r="I166" s="5" t="s">
        <v>194</v>
      </c>
      <c r="J166" s="5" t="s">
        <v>209</v>
      </c>
      <c r="K166" s="16" t="n">
        <v>-110</v>
      </c>
      <c r="L166" s="5" t="s">
        <v>192</v>
      </c>
      <c r="M166" s="17" t="n">
        <v>36.976911976912</v>
      </c>
      <c r="N166" s="3" t="str">
        <f aca="false">IF(OR(K166="",M166=""),"",IF(C166="STATS_ONLY","stats",IF(ROUND(K166/M166,2)=E166,"OK","CHECK")))</f>
        <v>OK</v>
      </c>
      <c r="O166" s="3" t="str">
        <f aca="false">TEXT(D166,"yyyy-mm")</f>
        <v>2025-12</v>
      </c>
      <c r="P166" s="13"/>
    </row>
    <row r="167" customFormat="false" ht="15" hidden="false" customHeight="false" outlineLevel="0" collapsed="false">
      <c r="A167" s="5" t="s">
        <v>28</v>
      </c>
      <c r="B167" s="5" t="n">
        <v>9236</v>
      </c>
      <c r="C167" s="5" t="s">
        <v>187</v>
      </c>
      <c r="D167" s="14" t="n">
        <v>46009</v>
      </c>
      <c r="E167" s="15" t="n">
        <v>-7.17</v>
      </c>
      <c r="F167" s="5" t="s">
        <v>236</v>
      </c>
      <c r="G167" s="5" t="s">
        <v>178</v>
      </c>
      <c r="H167" s="5" t="s">
        <v>189</v>
      </c>
      <c r="I167" s="5" t="s">
        <v>194</v>
      </c>
      <c r="J167" s="5" t="s">
        <v>237</v>
      </c>
      <c r="K167" s="16" t="n">
        <v>-265</v>
      </c>
      <c r="L167" s="5" t="s">
        <v>192</v>
      </c>
      <c r="M167" s="17" t="n">
        <v>36.976911976912</v>
      </c>
      <c r="N167" s="3" t="str">
        <f aca="false">IF(OR(K167="",M167=""),"",IF(C167="STATS_ONLY","stats",IF(ROUND(K167/M167,2)=E167,"OK","CHECK")))</f>
        <v>OK</v>
      </c>
      <c r="O167" s="3" t="str">
        <f aca="false">TEXT(D167,"yyyy-mm")</f>
        <v>2025-12</v>
      </c>
      <c r="P167" s="13"/>
    </row>
    <row r="168" customFormat="false" ht="15" hidden="false" customHeight="false" outlineLevel="0" collapsed="false">
      <c r="A168" s="5" t="s">
        <v>28</v>
      </c>
      <c r="B168" s="5" t="n">
        <v>9237</v>
      </c>
      <c r="C168" s="5" t="s">
        <v>187</v>
      </c>
      <c r="D168" s="14" t="n">
        <v>46009</v>
      </c>
      <c r="E168" s="15" t="n">
        <v>-7.84</v>
      </c>
      <c r="F168" s="5" t="s">
        <v>238</v>
      </c>
      <c r="G168" s="5" t="s">
        <v>178</v>
      </c>
      <c r="H168" s="5" t="s">
        <v>189</v>
      </c>
      <c r="I168" s="5" t="s">
        <v>194</v>
      </c>
      <c r="J168" s="5" t="s">
        <v>206</v>
      </c>
      <c r="K168" s="16" t="n">
        <v>-290</v>
      </c>
      <c r="L168" s="5" t="s">
        <v>192</v>
      </c>
      <c r="M168" s="17" t="n">
        <v>36.976911976912</v>
      </c>
      <c r="N168" s="3" t="str">
        <f aca="false">IF(OR(K168="",M168=""),"",IF(C168="STATS_ONLY","stats",IF(ROUND(K168/M168,2)=E168,"OK","CHECK")))</f>
        <v>OK</v>
      </c>
      <c r="O168" s="3" t="str">
        <f aca="false">TEXT(D168,"yyyy-mm")</f>
        <v>2025-12</v>
      </c>
      <c r="P168" s="13"/>
    </row>
    <row r="169" customFormat="false" ht="15" hidden="false" customHeight="false" outlineLevel="0" collapsed="false">
      <c r="A169" s="5" t="s">
        <v>28</v>
      </c>
      <c r="B169" s="5" t="n">
        <v>9238</v>
      </c>
      <c r="C169" s="5" t="s">
        <v>187</v>
      </c>
      <c r="D169" s="14" t="n">
        <v>46010</v>
      </c>
      <c r="E169" s="15" t="n">
        <v>-3.79</v>
      </c>
      <c r="F169" s="5" t="s">
        <v>210</v>
      </c>
      <c r="G169" s="5" t="s">
        <v>178</v>
      </c>
      <c r="H169" s="5" t="s">
        <v>189</v>
      </c>
      <c r="I169" s="5" t="s">
        <v>194</v>
      </c>
      <c r="J169" s="5" t="s">
        <v>197</v>
      </c>
      <c r="K169" s="16" t="n">
        <v>-140</v>
      </c>
      <c r="L169" s="5" t="s">
        <v>192</v>
      </c>
      <c r="M169" s="17" t="n">
        <v>36.976911976912</v>
      </c>
      <c r="N169" s="3" t="str">
        <f aca="false">IF(OR(K169="",M169=""),"",IF(C169="STATS_ONLY","stats",IF(ROUND(K169/M169,2)=E169,"OK","CHECK")))</f>
        <v>OK</v>
      </c>
      <c r="O169" s="3" t="str">
        <f aca="false">TEXT(D169,"yyyy-mm")</f>
        <v>2025-12</v>
      </c>
      <c r="P169" s="13"/>
    </row>
    <row r="170" customFormat="false" ht="15" hidden="false" customHeight="false" outlineLevel="0" collapsed="false">
      <c r="A170" s="5" t="s">
        <v>28</v>
      </c>
      <c r="B170" s="5" t="n">
        <v>9239</v>
      </c>
      <c r="C170" s="5" t="s">
        <v>187</v>
      </c>
      <c r="D170" s="14" t="n">
        <v>46010</v>
      </c>
      <c r="E170" s="15" t="n">
        <v>-1.76</v>
      </c>
      <c r="F170" s="5" t="s">
        <v>221</v>
      </c>
      <c r="G170" s="5" t="s">
        <v>178</v>
      </c>
      <c r="H170" s="5" t="s">
        <v>189</v>
      </c>
      <c r="I170" s="5" t="s">
        <v>194</v>
      </c>
      <c r="J170" s="5" t="s">
        <v>199</v>
      </c>
      <c r="K170" s="16" t="n">
        <v>-65</v>
      </c>
      <c r="L170" s="5" t="s">
        <v>192</v>
      </c>
      <c r="M170" s="17" t="n">
        <v>36.976911976912</v>
      </c>
      <c r="N170" s="3" t="str">
        <f aca="false">IF(OR(K170="",M170=""),"",IF(C170="STATS_ONLY","stats",IF(ROUND(K170/M170,2)=E170,"OK","CHECK")))</f>
        <v>OK</v>
      </c>
      <c r="O170" s="3" t="str">
        <f aca="false">TEXT(D170,"yyyy-mm")</f>
        <v>2025-12</v>
      </c>
      <c r="P170" s="13"/>
    </row>
    <row r="171" customFormat="false" ht="15" hidden="false" customHeight="false" outlineLevel="0" collapsed="false">
      <c r="A171" s="5" t="s">
        <v>28</v>
      </c>
      <c r="B171" s="5" t="n">
        <v>9240</v>
      </c>
      <c r="C171" s="5" t="s">
        <v>187</v>
      </c>
      <c r="D171" s="14" t="n">
        <v>46011</v>
      </c>
      <c r="E171" s="15" t="n">
        <v>-1.89</v>
      </c>
      <c r="F171" s="5" t="s">
        <v>241</v>
      </c>
      <c r="G171" s="5" t="s">
        <v>178</v>
      </c>
      <c r="H171" s="5" t="s">
        <v>189</v>
      </c>
      <c r="I171" s="5" t="s">
        <v>194</v>
      </c>
      <c r="J171" s="5" t="s">
        <v>209</v>
      </c>
      <c r="K171" s="16" t="n">
        <v>-70</v>
      </c>
      <c r="L171" s="5" t="s">
        <v>192</v>
      </c>
      <c r="M171" s="17" t="n">
        <v>36.976911976912</v>
      </c>
      <c r="N171" s="3" t="str">
        <f aca="false">IF(OR(K171="",M171=""),"",IF(C171="STATS_ONLY","stats",IF(ROUND(K171/M171,2)=E171,"OK","CHECK")))</f>
        <v>OK</v>
      </c>
      <c r="O171" s="3" t="str">
        <f aca="false">TEXT(D171,"yyyy-mm")</f>
        <v>2025-12</v>
      </c>
      <c r="P171" s="13"/>
    </row>
    <row r="172" customFormat="false" ht="15" hidden="false" customHeight="false" outlineLevel="0" collapsed="false">
      <c r="A172" s="5" t="s">
        <v>28</v>
      </c>
      <c r="B172" s="5" t="n">
        <v>9241</v>
      </c>
      <c r="C172" s="5" t="s">
        <v>187</v>
      </c>
      <c r="D172" s="14" t="n">
        <v>46011</v>
      </c>
      <c r="E172" s="15" t="n">
        <v>-1.49</v>
      </c>
      <c r="F172" s="5" t="s">
        <v>218</v>
      </c>
      <c r="G172" s="5" t="s">
        <v>178</v>
      </c>
      <c r="H172" s="5" t="s">
        <v>189</v>
      </c>
      <c r="I172" s="5" t="s">
        <v>194</v>
      </c>
      <c r="J172" s="5" t="s">
        <v>199</v>
      </c>
      <c r="K172" s="16" t="n">
        <v>-55</v>
      </c>
      <c r="L172" s="5" t="s">
        <v>192</v>
      </c>
      <c r="M172" s="17" t="n">
        <v>36.976911976912</v>
      </c>
      <c r="N172" s="3" t="str">
        <f aca="false">IF(OR(K172="",M172=""),"",IF(C172="STATS_ONLY","stats",IF(ROUND(K172/M172,2)=E172,"OK","CHECK")))</f>
        <v>OK</v>
      </c>
      <c r="O172" s="3" t="str">
        <f aca="false">TEXT(D172,"yyyy-mm")</f>
        <v>2025-12</v>
      </c>
      <c r="P172" s="13"/>
    </row>
    <row r="173" customFormat="false" ht="15" hidden="false" customHeight="false" outlineLevel="0" collapsed="false">
      <c r="A173" s="5" t="s">
        <v>28</v>
      </c>
      <c r="B173" s="5" t="n">
        <v>9242</v>
      </c>
      <c r="C173" s="5" t="s">
        <v>187</v>
      </c>
      <c r="D173" s="14" t="n">
        <v>46011</v>
      </c>
      <c r="E173" s="15" t="n">
        <v>-1.89</v>
      </c>
      <c r="F173" s="5" t="s">
        <v>212</v>
      </c>
      <c r="G173" s="5" t="s">
        <v>178</v>
      </c>
      <c r="H173" s="5" t="s">
        <v>189</v>
      </c>
      <c r="I173" s="5" t="s">
        <v>194</v>
      </c>
      <c r="J173" s="5" t="s">
        <v>181</v>
      </c>
      <c r="K173" s="16" t="n">
        <v>-70</v>
      </c>
      <c r="L173" s="5" t="s">
        <v>192</v>
      </c>
      <c r="M173" s="17" t="n">
        <v>36.976911976912</v>
      </c>
      <c r="N173" s="3" t="str">
        <f aca="false">IF(OR(K173="",M173=""),"",IF(C173="STATS_ONLY","stats",IF(ROUND(K173/M173,2)=E173,"OK","CHECK")))</f>
        <v>OK</v>
      </c>
      <c r="O173" s="3" t="str">
        <f aca="false">TEXT(D173,"yyyy-mm")</f>
        <v>2025-12</v>
      </c>
      <c r="P173" s="13"/>
    </row>
    <row r="174" customFormat="false" ht="15" hidden="false" customHeight="false" outlineLevel="0" collapsed="false">
      <c r="A174" s="5" t="s">
        <v>28</v>
      </c>
      <c r="B174" s="5" t="n">
        <v>9602</v>
      </c>
      <c r="C174" s="5" t="s">
        <v>152</v>
      </c>
      <c r="D174" s="14" t="n">
        <v>46011</v>
      </c>
      <c r="E174" s="15" t="n">
        <v>-152</v>
      </c>
      <c r="F174" s="5" t="s">
        <v>243</v>
      </c>
      <c r="G174" s="5" t="s">
        <v>163</v>
      </c>
      <c r="H174" s="5" t="s">
        <v>164</v>
      </c>
      <c r="I174" s="5" t="s">
        <v>244</v>
      </c>
      <c r="J174" s="5"/>
      <c r="K174" s="16"/>
      <c r="L174" s="5"/>
      <c r="M174" s="17"/>
      <c r="N174" s="3" t="str">
        <f aca="false">IF(OR(K174="",M174=""),"",IF(C174="STATS_ONLY","stats",IF(ROUND(K174/M174,2)=E174,"OK","CHECK")))</f>
        <v/>
      </c>
      <c r="O174" s="3" t="str">
        <f aca="false">TEXT(D174,"yyyy-mm")</f>
        <v>2025-12</v>
      </c>
      <c r="P174" s="13"/>
    </row>
    <row r="175" customFormat="false" ht="15" hidden="false" customHeight="false" outlineLevel="0" collapsed="false">
      <c r="A175" s="5" t="s">
        <v>28</v>
      </c>
      <c r="B175" s="5" t="n">
        <v>9603</v>
      </c>
      <c r="C175" s="5" t="s">
        <v>152</v>
      </c>
      <c r="D175" s="14" t="n">
        <v>46011</v>
      </c>
      <c r="E175" s="15" t="n">
        <v>131</v>
      </c>
      <c r="F175" s="5" t="s">
        <v>245</v>
      </c>
      <c r="G175" s="5" t="s">
        <v>163</v>
      </c>
      <c r="H175" s="5" t="s">
        <v>164</v>
      </c>
      <c r="I175" s="5" t="s">
        <v>244</v>
      </c>
      <c r="J175" s="5"/>
      <c r="K175" s="16"/>
      <c r="L175" s="5"/>
      <c r="M175" s="17"/>
      <c r="N175" s="3" t="str">
        <f aca="false">IF(OR(K175="",M175=""),"",IF(C175="STATS_ONLY","stats",IF(ROUND(K175/M175,2)=E175,"OK","CHECK")))</f>
        <v/>
      </c>
      <c r="O175" s="3" t="str">
        <f aca="false">TEXT(D175,"yyyy-mm")</f>
        <v>2025-12</v>
      </c>
      <c r="P175" s="13"/>
    </row>
    <row r="176" customFormat="false" ht="15" hidden="false" customHeight="false" outlineLevel="0" collapsed="false">
      <c r="A176" s="5" t="s">
        <v>28</v>
      </c>
      <c r="B176" s="5" t="n">
        <v>9243</v>
      </c>
      <c r="C176" s="5" t="s">
        <v>187</v>
      </c>
      <c r="D176" s="14" t="n">
        <v>46012</v>
      </c>
      <c r="E176" s="15" t="n">
        <v>-2.7</v>
      </c>
      <c r="F176" s="5" t="s">
        <v>217</v>
      </c>
      <c r="G176" s="5" t="s">
        <v>178</v>
      </c>
      <c r="H176" s="5" t="s">
        <v>189</v>
      </c>
      <c r="I176" s="5" t="s">
        <v>194</v>
      </c>
      <c r="J176" s="5" t="s">
        <v>209</v>
      </c>
      <c r="K176" s="16" t="n">
        <v>-100</v>
      </c>
      <c r="L176" s="5" t="s">
        <v>192</v>
      </c>
      <c r="M176" s="17" t="n">
        <v>36.976911976912</v>
      </c>
      <c r="N176" s="3" t="str">
        <f aca="false">IF(OR(K176="",M176=""),"",IF(C176="STATS_ONLY","stats",IF(ROUND(K176/M176,2)=E176,"OK","CHECK")))</f>
        <v>OK</v>
      </c>
      <c r="O176" s="3" t="str">
        <f aca="false">TEXT(D176,"yyyy-mm")</f>
        <v>2025-12</v>
      </c>
      <c r="P176" s="13"/>
    </row>
    <row r="177" customFormat="false" ht="15" hidden="false" customHeight="false" outlineLevel="0" collapsed="false">
      <c r="A177" s="5" t="s">
        <v>28</v>
      </c>
      <c r="B177" s="5" t="n">
        <v>9244</v>
      </c>
      <c r="C177" s="5" t="s">
        <v>187</v>
      </c>
      <c r="D177" s="14" t="n">
        <v>46012</v>
      </c>
      <c r="E177" s="15" t="n">
        <v>-4.87</v>
      </c>
      <c r="F177" s="5" t="s">
        <v>226</v>
      </c>
      <c r="G177" s="5" t="s">
        <v>178</v>
      </c>
      <c r="H177" s="5" t="s">
        <v>189</v>
      </c>
      <c r="I177" s="5" t="s">
        <v>194</v>
      </c>
      <c r="J177" s="5" t="s">
        <v>197</v>
      </c>
      <c r="K177" s="16" t="n">
        <v>-180</v>
      </c>
      <c r="L177" s="5" t="s">
        <v>192</v>
      </c>
      <c r="M177" s="17" t="n">
        <v>36.976911976912</v>
      </c>
      <c r="N177" s="3" t="str">
        <f aca="false">IF(OR(K177="",M177=""),"",IF(C177="STATS_ONLY","stats",IF(ROUND(K177/M177,2)=E177,"OK","CHECK")))</f>
        <v>OK</v>
      </c>
      <c r="O177" s="3" t="str">
        <f aca="false">TEXT(D177,"yyyy-mm")</f>
        <v>2025-12</v>
      </c>
      <c r="P177" s="13"/>
    </row>
    <row r="178" customFormat="false" ht="15" hidden="false" customHeight="false" outlineLevel="0" collapsed="false">
      <c r="A178" s="5" t="s">
        <v>28</v>
      </c>
      <c r="B178" s="5" t="n">
        <v>9245</v>
      </c>
      <c r="C178" s="5" t="s">
        <v>187</v>
      </c>
      <c r="D178" s="14" t="n">
        <v>46012</v>
      </c>
      <c r="E178" s="15" t="n">
        <v>-1.62</v>
      </c>
      <c r="F178" s="5" t="s">
        <v>233</v>
      </c>
      <c r="G178" s="5" t="s">
        <v>178</v>
      </c>
      <c r="H178" s="5" t="s">
        <v>189</v>
      </c>
      <c r="I178" s="5" t="s">
        <v>194</v>
      </c>
      <c r="J178" s="5" t="s">
        <v>181</v>
      </c>
      <c r="K178" s="16" t="n">
        <v>-60</v>
      </c>
      <c r="L178" s="5" t="s">
        <v>192</v>
      </c>
      <c r="M178" s="17" t="n">
        <v>36.976911976912</v>
      </c>
      <c r="N178" s="3" t="str">
        <f aca="false">IF(OR(K178="",M178=""),"",IF(C178="STATS_ONLY","stats",IF(ROUND(K178/M178,2)=E178,"OK","CHECK")))</f>
        <v>OK</v>
      </c>
      <c r="O178" s="3" t="str">
        <f aca="false">TEXT(D178,"yyyy-mm")</f>
        <v>2025-12</v>
      </c>
      <c r="P178" s="13"/>
    </row>
    <row r="179" customFormat="false" ht="15" hidden="false" customHeight="false" outlineLevel="0" collapsed="false">
      <c r="A179" s="5" t="s">
        <v>28</v>
      </c>
      <c r="B179" s="5" t="n">
        <v>9246</v>
      </c>
      <c r="C179" s="5" t="s">
        <v>187</v>
      </c>
      <c r="D179" s="14" t="n">
        <v>46012</v>
      </c>
      <c r="E179" s="15" t="n">
        <v>-3.52</v>
      </c>
      <c r="F179" s="5" t="s">
        <v>228</v>
      </c>
      <c r="G179" s="5" t="s">
        <v>178</v>
      </c>
      <c r="H179" s="5" t="s">
        <v>189</v>
      </c>
      <c r="I179" s="5" t="s">
        <v>194</v>
      </c>
      <c r="J179" s="5" t="s">
        <v>229</v>
      </c>
      <c r="K179" s="16" t="n">
        <v>-130</v>
      </c>
      <c r="L179" s="5" t="s">
        <v>192</v>
      </c>
      <c r="M179" s="17" t="n">
        <v>36.976911976912</v>
      </c>
      <c r="N179" s="3" t="str">
        <f aca="false">IF(OR(K179="",M179=""),"",IF(C179="STATS_ONLY","stats",IF(ROUND(K179/M179,2)=E179,"OK","CHECK")))</f>
        <v>OK</v>
      </c>
      <c r="O179" s="3" t="str">
        <f aca="false">TEXT(D179,"yyyy-mm")</f>
        <v>2025-12</v>
      </c>
      <c r="P179" s="13"/>
    </row>
    <row r="180" customFormat="false" ht="15" hidden="false" customHeight="false" outlineLevel="0" collapsed="false">
      <c r="A180" s="5" t="s">
        <v>28</v>
      </c>
      <c r="B180" s="5" t="n">
        <v>9247</v>
      </c>
      <c r="C180" s="5" t="s">
        <v>187</v>
      </c>
      <c r="D180" s="14" t="n">
        <v>46013</v>
      </c>
      <c r="E180" s="15" t="n">
        <v>-1.89</v>
      </c>
      <c r="F180" s="5" t="s">
        <v>217</v>
      </c>
      <c r="G180" s="5" t="s">
        <v>178</v>
      </c>
      <c r="H180" s="5" t="s">
        <v>189</v>
      </c>
      <c r="I180" s="5" t="s">
        <v>194</v>
      </c>
      <c r="J180" s="5" t="s">
        <v>209</v>
      </c>
      <c r="K180" s="16" t="n">
        <v>-70</v>
      </c>
      <c r="L180" s="5" t="s">
        <v>192</v>
      </c>
      <c r="M180" s="17" t="n">
        <v>36.976911976912</v>
      </c>
      <c r="N180" s="3" t="str">
        <f aca="false">IF(OR(K180="",M180=""),"",IF(C180="STATS_ONLY","stats",IF(ROUND(K180/M180,2)=E180,"OK","CHECK")))</f>
        <v>OK</v>
      </c>
      <c r="O180" s="3" t="str">
        <f aca="false">TEXT(D180,"yyyy-mm")</f>
        <v>2025-12</v>
      </c>
      <c r="P180" s="13"/>
    </row>
    <row r="181" customFormat="false" ht="15" hidden="false" customHeight="false" outlineLevel="0" collapsed="false">
      <c r="A181" s="5" t="s">
        <v>28</v>
      </c>
      <c r="B181" s="5" t="n">
        <v>9248</v>
      </c>
      <c r="C181" s="5" t="s">
        <v>187</v>
      </c>
      <c r="D181" s="14" t="n">
        <v>46013</v>
      </c>
      <c r="E181" s="15" t="n">
        <v>-2.03</v>
      </c>
      <c r="F181" s="5" t="s">
        <v>218</v>
      </c>
      <c r="G181" s="5" t="s">
        <v>178</v>
      </c>
      <c r="H181" s="5" t="s">
        <v>189</v>
      </c>
      <c r="I181" s="5" t="s">
        <v>194</v>
      </c>
      <c r="J181" s="5" t="s">
        <v>199</v>
      </c>
      <c r="K181" s="16" t="n">
        <v>-75</v>
      </c>
      <c r="L181" s="5" t="s">
        <v>192</v>
      </c>
      <c r="M181" s="17" t="n">
        <v>36.976911976912</v>
      </c>
      <c r="N181" s="3" t="str">
        <f aca="false">IF(OR(K181="",M181=""),"",IF(C181="STATS_ONLY","stats",IF(ROUND(K181/M181,2)=E181,"OK","CHECK")))</f>
        <v>OK</v>
      </c>
      <c r="O181" s="3" t="str">
        <f aca="false">TEXT(D181,"yyyy-mm")</f>
        <v>2025-12</v>
      </c>
      <c r="P181" s="13"/>
    </row>
    <row r="182" customFormat="false" ht="15" hidden="false" customHeight="false" outlineLevel="0" collapsed="false">
      <c r="A182" s="5" t="s">
        <v>28</v>
      </c>
      <c r="B182" s="5" t="n">
        <v>9249</v>
      </c>
      <c r="C182" s="5" t="s">
        <v>187</v>
      </c>
      <c r="D182" s="14" t="n">
        <v>46014</v>
      </c>
      <c r="E182" s="15" t="n">
        <v>-2.03</v>
      </c>
      <c r="F182" s="5" t="s">
        <v>193</v>
      </c>
      <c r="G182" s="5" t="s">
        <v>178</v>
      </c>
      <c r="H182" s="5" t="s">
        <v>189</v>
      </c>
      <c r="I182" s="5" t="s">
        <v>194</v>
      </c>
      <c r="J182" s="5" t="s">
        <v>195</v>
      </c>
      <c r="K182" s="16" t="n">
        <v>-75</v>
      </c>
      <c r="L182" s="5" t="s">
        <v>192</v>
      </c>
      <c r="M182" s="17" t="n">
        <v>36.976911976912</v>
      </c>
      <c r="N182" s="3" t="str">
        <f aca="false">IF(OR(K182="",M182=""),"",IF(C182="STATS_ONLY","stats",IF(ROUND(K182/M182,2)=E182,"OK","CHECK")))</f>
        <v>OK</v>
      </c>
      <c r="O182" s="3" t="str">
        <f aca="false">TEXT(D182,"yyyy-mm")</f>
        <v>2025-12</v>
      </c>
      <c r="P182" s="13"/>
    </row>
    <row r="183" customFormat="false" ht="15" hidden="false" customHeight="false" outlineLevel="0" collapsed="false">
      <c r="A183" s="5" t="s">
        <v>28</v>
      </c>
      <c r="B183" s="5" t="n">
        <v>9250</v>
      </c>
      <c r="C183" s="5" t="s">
        <v>187</v>
      </c>
      <c r="D183" s="14" t="n">
        <v>46014</v>
      </c>
      <c r="E183" s="15" t="n">
        <v>-3.25</v>
      </c>
      <c r="F183" s="5" t="s">
        <v>208</v>
      </c>
      <c r="G183" s="5" t="s">
        <v>178</v>
      </c>
      <c r="H183" s="5" t="s">
        <v>189</v>
      </c>
      <c r="I183" s="5" t="s">
        <v>194</v>
      </c>
      <c r="J183" s="5" t="s">
        <v>209</v>
      </c>
      <c r="K183" s="16" t="n">
        <v>-120</v>
      </c>
      <c r="L183" s="5" t="s">
        <v>192</v>
      </c>
      <c r="M183" s="17" t="n">
        <v>36.976911976912</v>
      </c>
      <c r="N183" s="3" t="str">
        <f aca="false">IF(OR(K183="",M183=""),"",IF(C183="STATS_ONLY","stats",IF(ROUND(K183/M183,2)=E183,"OK","CHECK")))</f>
        <v>OK</v>
      </c>
      <c r="O183" s="3" t="str">
        <f aca="false">TEXT(D183,"yyyy-mm")</f>
        <v>2025-12</v>
      </c>
      <c r="P183" s="13"/>
    </row>
    <row r="184" customFormat="false" ht="15" hidden="false" customHeight="false" outlineLevel="0" collapsed="false">
      <c r="A184" s="5" t="s">
        <v>28</v>
      </c>
      <c r="B184" s="5" t="n">
        <v>9251</v>
      </c>
      <c r="C184" s="5" t="s">
        <v>187</v>
      </c>
      <c r="D184" s="14" t="n">
        <v>46014</v>
      </c>
      <c r="E184" s="15" t="n">
        <v>-3.52</v>
      </c>
      <c r="F184" s="5" t="s">
        <v>226</v>
      </c>
      <c r="G184" s="5" t="s">
        <v>178</v>
      </c>
      <c r="H184" s="5" t="s">
        <v>189</v>
      </c>
      <c r="I184" s="5" t="s">
        <v>194</v>
      </c>
      <c r="J184" s="5" t="s">
        <v>197</v>
      </c>
      <c r="K184" s="16" t="n">
        <v>-130</v>
      </c>
      <c r="L184" s="5" t="s">
        <v>192</v>
      </c>
      <c r="M184" s="17" t="n">
        <v>36.976911976912</v>
      </c>
      <c r="N184" s="3" t="str">
        <f aca="false">IF(OR(K184="",M184=""),"",IF(C184="STATS_ONLY","stats",IF(ROUND(K184/M184,2)=E184,"OK","CHECK")))</f>
        <v>OK</v>
      </c>
      <c r="O184" s="3" t="str">
        <f aca="false">TEXT(D184,"yyyy-mm")</f>
        <v>2025-12</v>
      </c>
      <c r="P184" s="13"/>
    </row>
    <row r="185" customFormat="false" ht="15" hidden="false" customHeight="false" outlineLevel="0" collapsed="false">
      <c r="A185" s="5" t="s">
        <v>28</v>
      </c>
      <c r="B185" s="5" t="n">
        <v>9252</v>
      </c>
      <c r="C185" s="5" t="s">
        <v>187</v>
      </c>
      <c r="D185" s="14" t="n">
        <v>46014</v>
      </c>
      <c r="E185" s="15" t="n">
        <v>-1.35</v>
      </c>
      <c r="F185" s="5" t="s">
        <v>211</v>
      </c>
      <c r="G185" s="5" t="s">
        <v>178</v>
      </c>
      <c r="H185" s="5" t="s">
        <v>189</v>
      </c>
      <c r="I185" s="5" t="s">
        <v>194</v>
      </c>
      <c r="J185" s="5" t="s">
        <v>199</v>
      </c>
      <c r="K185" s="16" t="n">
        <v>-50</v>
      </c>
      <c r="L185" s="5" t="s">
        <v>192</v>
      </c>
      <c r="M185" s="17" t="n">
        <v>36.976911976912</v>
      </c>
      <c r="N185" s="3" t="str">
        <f aca="false">IF(OR(K185="",M185=""),"",IF(C185="STATS_ONLY","stats",IF(ROUND(K185/M185,2)=E185,"OK","CHECK")))</f>
        <v>OK</v>
      </c>
      <c r="O185" s="3" t="str">
        <f aca="false">TEXT(D185,"yyyy-mm")</f>
        <v>2025-12</v>
      </c>
      <c r="P185" s="13"/>
    </row>
    <row r="186" customFormat="false" ht="15" hidden="false" customHeight="false" outlineLevel="0" collapsed="false">
      <c r="A186" s="5" t="s">
        <v>28</v>
      </c>
      <c r="B186" s="5" t="n">
        <v>9601</v>
      </c>
      <c r="C186" s="5" t="s">
        <v>152</v>
      </c>
      <c r="D186" s="14" t="n">
        <v>46014</v>
      </c>
      <c r="E186" s="15" t="n">
        <v>-7</v>
      </c>
      <c r="F186" s="5" t="s">
        <v>249</v>
      </c>
      <c r="G186" s="5" t="s">
        <v>163</v>
      </c>
      <c r="H186" s="5" t="s">
        <v>164</v>
      </c>
      <c r="I186" s="5" t="s">
        <v>250</v>
      </c>
      <c r="J186" s="5"/>
      <c r="K186" s="16"/>
      <c r="L186" s="5"/>
      <c r="M186" s="17"/>
      <c r="N186" s="3" t="str">
        <f aca="false">IF(OR(K186="",M186=""),"",IF(C186="STATS_ONLY","stats",IF(ROUND(K186/M186,2)=E186,"OK","CHECK")))</f>
        <v/>
      </c>
      <c r="O186" s="3" t="str">
        <f aca="false">TEXT(D186,"yyyy-mm")</f>
        <v>2025-12</v>
      </c>
      <c r="P186" s="13"/>
    </row>
    <row r="187" customFormat="false" ht="15" hidden="false" customHeight="false" outlineLevel="0" collapsed="false">
      <c r="A187" s="5" t="s">
        <v>28</v>
      </c>
      <c r="B187" s="5" t="n">
        <v>9253</v>
      </c>
      <c r="C187" s="5" t="s">
        <v>187</v>
      </c>
      <c r="D187" s="14" t="n">
        <v>46015</v>
      </c>
      <c r="E187" s="15" t="n">
        <v>-2.7</v>
      </c>
      <c r="F187" s="5" t="s">
        <v>227</v>
      </c>
      <c r="G187" s="5" t="s">
        <v>178</v>
      </c>
      <c r="H187" s="5" t="s">
        <v>189</v>
      </c>
      <c r="I187" s="5" t="s">
        <v>194</v>
      </c>
      <c r="J187" s="5" t="s">
        <v>195</v>
      </c>
      <c r="K187" s="16" t="n">
        <v>-100</v>
      </c>
      <c r="L187" s="5" t="s">
        <v>192</v>
      </c>
      <c r="M187" s="17" t="n">
        <v>36.976911976912</v>
      </c>
      <c r="N187" s="3" t="str">
        <f aca="false">IF(OR(K187="",M187=""),"",IF(C187="STATS_ONLY","stats",IF(ROUND(K187/M187,2)=E187,"OK","CHECK")))</f>
        <v>OK</v>
      </c>
      <c r="O187" s="3" t="str">
        <f aca="false">TEXT(D187,"yyyy-mm")</f>
        <v>2025-12</v>
      </c>
      <c r="P187" s="13"/>
    </row>
    <row r="188" customFormat="false" ht="15" hidden="false" customHeight="false" outlineLevel="0" collapsed="false">
      <c r="A188" s="5" t="s">
        <v>28</v>
      </c>
      <c r="B188" s="5" t="n">
        <v>9254</v>
      </c>
      <c r="C188" s="5" t="s">
        <v>187</v>
      </c>
      <c r="D188" s="14" t="n">
        <v>46015</v>
      </c>
      <c r="E188" s="15" t="n">
        <v>-3.25</v>
      </c>
      <c r="F188" s="5" t="s">
        <v>241</v>
      </c>
      <c r="G188" s="5" t="s">
        <v>178</v>
      </c>
      <c r="H188" s="5" t="s">
        <v>189</v>
      </c>
      <c r="I188" s="5" t="s">
        <v>194</v>
      </c>
      <c r="J188" s="5" t="s">
        <v>209</v>
      </c>
      <c r="K188" s="16" t="n">
        <v>-120</v>
      </c>
      <c r="L188" s="5" t="s">
        <v>192</v>
      </c>
      <c r="M188" s="17" t="n">
        <v>36.976911976912</v>
      </c>
      <c r="N188" s="3" t="str">
        <f aca="false">IF(OR(K188="",M188=""),"",IF(C188="STATS_ONLY","stats",IF(ROUND(K188/M188,2)=E188,"OK","CHECK")))</f>
        <v>OK</v>
      </c>
      <c r="O188" s="3" t="str">
        <f aca="false">TEXT(D188,"yyyy-mm")</f>
        <v>2025-12</v>
      </c>
      <c r="P188" s="13"/>
    </row>
    <row r="189" customFormat="false" ht="15" hidden="false" customHeight="false" outlineLevel="0" collapsed="false">
      <c r="A189" s="5" t="s">
        <v>28</v>
      </c>
      <c r="B189" s="5" t="n">
        <v>9255</v>
      </c>
      <c r="C189" s="5" t="s">
        <v>187</v>
      </c>
      <c r="D189" s="14" t="n">
        <v>46015</v>
      </c>
      <c r="E189" s="15" t="n">
        <v>-4.06</v>
      </c>
      <c r="F189" s="5" t="s">
        <v>210</v>
      </c>
      <c r="G189" s="5" t="s">
        <v>178</v>
      </c>
      <c r="H189" s="5" t="s">
        <v>189</v>
      </c>
      <c r="I189" s="5" t="s">
        <v>194</v>
      </c>
      <c r="J189" s="5" t="s">
        <v>197</v>
      </c>
      <c r="K189" s="16" t="n">
        <v>-150</v>
      </c>
      <c r="L189" s="5" t="s">
        <v>192</v>
      </c>
      <c r="M189" s="17" t="n">
        <v>36.976911976912</v>
      </c>
      <c r="N189" s="3" t="str">
        <f aca="false">IF(OR(K189="",M189=""),"",IF(C189="STATS_ONLY","stats",IF(ROUND(K189/M189,2)=E189,"OK","CHECK")))</f>
        <v>OK</v>
      </c>
      <c r="O189" s="3" t="str">
        <f aca="false">TEXT(D189,"yyyy-mm")</f>
        <v>2025-12</v>
      </c>
      <c r="P189" s="13"/>
    </row>
    <row r="190" customFormat="false" ht="15" hidden="false" customHeight="false" outlineLevel="0" collapsed="false">
      <c r="A190" s="5" t="s">
        <v>28</v>
      </c>
      <c r="B190" s="5" t="n">
        <v>9256</v>
      </c>
      <c r="C190" s="5" t="s">
        <v>187</v>
      </c>
      <c r="D190" s="14" t="n">
        <v>46015</v>
      </c>
      <c r="E190" s="15" t="n">
        <v>-1.62</v>
      </c>
      <c r="F190" s="5" t="s">
        <v>221</v>
      </c>
      <c r="G190" s="5" t="s">
        <v>178</v>
      </c>
      <c r="H190" s="5" t="s">
        <v>189</v>
      </c>
      <c r="I190" s="5" t="s">
        <v>194</v>
      </c>
      <c r="J190" s="5" t="s">
        <v>199</v>
      </c>
      <c r="K190" s="16" t="n">
        <v>-60</v>
      </c>
      <c r="L190" s="5" t="s">
        <v>192</v>
      </c>
      <c r="M190" s="17" t="n">
        <v>36.976911976912</v>
      </c>
      <c r="N190" s="3" t="str">
        <f aca="false">IF(OR(K190="",M190=""),"",IF(C190="STATS_ONLY","stats",IF(ROUND(K190/M190,2)=E190,"OK","CHECK")))</f>
        <v>OK</v>
      </c>
      <c r="O190" s="3" t="str">
        <f aca="false">TEXT(D190,"yyyy-mm")</f>
        <v>2025-12</v>
      </c>
      <c r="P190" s="13"/>
    </row>
    <row r="191" customFormat="false" ht="15" hidden="false" customHeight="false" outlineLevel="0" collapsed="false">
      <c r="A191" s="5" t="s">
        <v>28</v>
      </c>
      <c r="B191" s="5" t="n">
        <v>9257</v>
      </c>
      <c r="C191" s="5" t="s">
        <v>187</v>
      </c>
      <c r="D191" s="14" t="n">
        <v>46016</v>
      </c>
      <c r="E191" s="15" t="n">
        <v>-2.3</v>
      </c>
      <c r="F191" s="5" t="s">
        <v>225</v>
      </c>
      <c r="G191" s="5" t="s">
        <v>178</v>
      </c>
      <c r="H191" s="5" t="s">
        <v>189</v>
      </c>
      <c r="I191" s="5" t="s">
        <v>194</v>
      </c>
      <c r="J191" s="5" t="s">
        <v>197</v>
      </c>
      <c r="K191" s="16" t="n">
        <v>-85</v>
      </c>
      <c r="L191" s="5" t="s">
        <v>192</v>
      </c>
      <c r="M191" s="17" t="n">
        <v>36.976911976912</v>
      </c>
      <c r="N191" s="3" t="str">
        <f aca="false">IF(OR(K191="",M191=""),"",IF(C191="STATS_ONLY","stats",IF(ROUND(K191/M191,2)=E191,"OK","CHECK")))</f>
        <v>OK</v>
      </c>
      <c r="O191" s="3" t="str">
        <f aca="false">TEXT(D191,"yyyy-mm")</f>
        <v>2025-12</v>
      </c>
      <c r="P191" s="13"/>
    </row>
    <row r="192" customFormat="false" ht="15" hidden="false" customHeight="false" outlineLevel="0" collapsed="false">
      <c r="A192" s="5" t="s">
        <v>28</v>
      </c>
      <c r="B192" s="5" t="n">
        <v>9258</v>
      </c>
      <c r="C192" s="5" t="s">
        <v>187</v>
      </c>
      <c r="D192" s="14" t="n">
        <v>46016</v>
      </c>
      <c r="E192" s="15" t="n">
        <v>-1.35</v>
      </c>
      <c r="F192" s="5" t="s">
        <v>212</v>
      </c>
      <c r="G192" s="5" t="s">
        <v>178</v>
      </c>
      <c r="H192" s="5" t="s">
        <v>189</v>
      </c>
      <c r="I192" s="5" t="s">
        <v>194</v>
      </c>
      <c r="J192" s="5" t="s">
        <v>181</v>
      </c>
      <c r="K192" s="16" t="n">
        <v>-50</v>
      </c>
      <c r="L192" s="5" t="s">
        <v>192</v>
      </c>
      <c r="M192" s="17" t="n">
        <v>36.976911976912</v>
      </c>
      <c r="N192" s="3" t="str">
        <f aca="false">IF(OR(K192="",M192=""),"",IF(C192="STATS_ONLY","stats",IF(ROUND(K192/M192,2)=E192,"OK","CHECK")))</f>
        <v>OK</v>
      </c>
      <c r="O192" s="3" t="str">
        <f aca="false">TEXT(D192,"yyyy-mm")</f>
        <v>2025-12</v>
      </c>
      <c r="P192" s="13"/>
    </row>
    <row r="193" customFormat="false" ht="15" hidden="false" customHeight="false" outlineLevel="0" collapsed="false">
      <c r="A193" s="5" t="s">
        <v>28</v>
      </c>
      <c r="B193" s="5" t="n">
        <v>9259</v>
      </c>
      <c r="C193" s="5" t="s">
        <v>187</v>
      </c>
      <c r="D193" s="14" t="n">
        <v>46017</v>
      </c>
      <c r="E193" s="15" t="n">
        <v>-1.62</v>
      </c>
      <c r="F193" s="5" t="s">
        <v>241</v>
      </c>
      <c r="G193" s="5" t="s">
        <v>178</v>
      </c>
      <c r="H193" s="5" t="s">
        <v>189</v>
      </c>
      <c r="I193" s="5" t="s">
        <v>194</v>
      </c>
      <c r="J193" s="5" t="s">
        <v>209</v>
      </c>
      <c r="K193" s="16" t="n">
        <v>-60</v>
      </c>
      <c r="L193" s="5" t="s">
        <v>192</v>
      </c>
      <c r="M193" s="17" t="n">
        <v>36.976911976912</v>
      </c>
      <c r="N193" s="3" t="str">
        <f aca="false">IF(OR(K193="",M193=""),"",IF(C193="STATS_ONLY","stats",IF(ROUND(K193/M193,2)=E193,"OK","CHECK")))</f>
        <v>OK</v>
      </c>
      <c r="O193" s="3" t="str">
        <f aca="false">TEXT(D193,"yyyy-mm")</f>
        <v>2025-12</v>
      </c>
      <c r="P193" s="13"/>
    </row>
    <row r="194" customFormat="false" ht="15" hidden="false" customHeight="false" outlineLevel="0" collapsed="false">
      <c r="A194" s="5" t="s">
        <v>28</v>
      </c>
      <c r="B194" s="5" t="n">
        <v>9260</v>
      </c>
      <c r="C194" s="5" t="s">
        <v>187</v>
      </c>
      <c r="D194" s="14" t="n">
        <v>46017</v>
      </c>
      <c r="E194" s="15" t="n">
        <v>-1.89</v>
      </c>
      <c r="F194" s="5" t="s">
        <v>211</v>
      </c>
      <c r="G194" s="5" t="s">
        <v>178</v>
      </c>
      <c r="H194" s="5" t="s">
        <v>189</v>
      </c>
      <c r="I194" s="5" t="s">
        <v>194</v>
      </c>
      <c r="J194" s="5" t="s">
        <v>199</v>
      </c>
      <c r="K194" s="16" t="n">
        <v>-70</v>
      </c>
      <c r="L194" s="5" t="s">
        <v>192</v>
      </c>
      <c r="M194" s="17" t="n">
        <v>36.976911976912</v>
      </c>
      <c r="N194" s="3" t="str">
        <f aca="false">IF(OR(K194="",M194=""),"",IF(C194="STATS_ONLY","stats",IF(ROUND(K194/M194,2)=E194,"OK","CHECK")))</f>
        <v>OK</v>
      </c>
      <c r="O194" s="3" t="str">
        <f aca="false">TEXT(D194,"yyyy-mm")</f>
        <v>2025-12</v>
      </c>
      <c r="P194" s="13"/>
    </row>
    <row r="195" customFormat="false" ht="15" hidden="false" customHeight="false" outlineLevel="0" collapsed="false">
      <c r="A195" s="5" t="s">
        <v>28</v>
      </c>
      <c r="B195" s="5" t="n">
        <v>9261</v>
      </c>
      <c r="C195" s="5" t="s">
        <v>187</v>
      </c>
      <c r="D195" s="14" t="n">
        <v>46017</v>
      </c>
      <c r="E195" s="15" t="n">
        <v>-2.3</v>
      </c>
      <c r="F195" s="5" t="s">
        <v>230</v>
      </c>
      <c r="G195" s="5" t="s">
        <v>178</v>
      </c>
      <c r="H195" s="5" t="s">
        <v>189</v>
      </c>
      <c r="I195" s="5" t="s">
        <v>194</v>
      </c>
      <c r="J195" s="5" t="s">
        <v>231</v>
      </c>
      <c r="K195" s="16" t="n">
        <v>-85</v>
      </c>
      <c r="L195" s="5" t="s">
        <v>192</v>
      </c>
      <c r="M195" s="17" t="n">
        <v>36.976911976912</v>
      </c>
      <c r="N195" s="3" t="str">
        <f aca="false">IF(OR(K195="",M195=""),"",IF(C195="STATS_ONLY","stats",IF(ROUND(K195/M195,2)=E195,"OK","CHECK")))</f>
        <v>OK</v>
      </c>
      <c r="O195" s="3" t="str">
        <f aca="false">TEXT(D195,"yyyy-mm")</f>
        <v>2025-12</v>
      </c>
      <c r="P195" s="13"/>
    </row>
    <row r="196" customFormat="false" ht="15" hidden="false" customHeight="false" outlineLevel="0" collapsed="false">
      <c r="A196" s="5" t="s">
        <v>28</v>
      </c>
      <c r="B196" s="5" t="n">
        <v>9262</v>
      </c>
      <c r="C196" s="5" t="s">
        <v>187</v>
      </c>
      <c r="D196" s="14" t="n">
        <v>46018</v>
      </c>
      <c r="E196" s="15" t="n">
        <v>-2.16</v>
      </c>
      <c r="F196" s="5" t="s">
        <v>232</v>
      </c>
      <c r="G196" s="5" t="s">
        <v>178</v>
      </c>
      <c r="H196" s="5" t="s">
        <v>189</v>
      </c>
      <c r="I196" s="5" t="s">
        <v>194</v>
      </c>
      <c r="J196" s="5" t="s">
        <v>209</v>
      </c>
      <c r="K196" s="16" t="n">
        <v>-80</v>
      </c>
      <c r="L196" s="5" t="s">
        <v>192</v>
      </c>
      <c r="M196" s="17" t="n">
        <v>36.976911976912</v>
      </c>
      <c r="N196" s="3" t="str">
        <f aca="false">IF(OR(K196="",M196=""),"",IF(C196="STATS_ONLY","stats",IF(ROUND(K196/M196,2)=E196,"OK","CHECK")))</f>
        <v>OK</v>
      </c>
      <c r="O196" s="3" t="str">
        <f aca="false">TEXT(D196,"yyyy-mm")</f>
        <v>2025-12</v>
      </c>
      <c r="P196" s="13"/>
    </row>
    <row r="197" customFormat="false" ht="15" hidden="false" customHeight="false" outlineLevel="0" collapsed="false">
      <c r="A197" s="5" t="s">
        <v>28</v>
      </c>
      <c r="B197" s="5" t="n">
        <v>9263</v>
      </c>
      <c r="C197" s="5" t="s">
        <v>187</v>
      </c>
      <c r="D197" s="14" t="n">
        <v>46018</v>
      </c>
      <c r="E197" s="15" t="n">
        <v>-2.3</v>
      </c>
      <c r="F197" s="5" t="s">
        <v>198</v>
      </c>
      <c r="G197" s="5" t="s">
        <v>178</v>
      </c>
      <c r="H197" s="5" t="s">
        <v>189</v>
      </c>
      <c r="I197" s="5" t="s">
        <v>194</v>
      </c>
      <c r="J197" s="5" t="s">
        <v>199</v>
      </c>
      <c r="K197" s="16" t="n">
        <v>-85</v>
      </c>
      <c r="L197" s="5" t="s">
        <v>192</v>
      </c>
      <c r="M197" s="17" t="n">
        <v>36.976911976912</v>
      </c>
      <c r="N197" s="3" t="str">
        <f aca="false">IF(OR(K197="",M197=""),"",IF(C197="STATS_ONLY","stats",IF(ROUND(K197/M197,2)=E197,"OK","CHECK")))</f>
        <v>OK</v>
      </c>
      <c r="O197" s="3" t="str">
        <f aca="false">TEXT(D197,"yyyy-mm")</f>
        <v>2025-12</v>
      </c>
      <c r="P197" s="13"/>
    </row>
    <row r="198" customFormat="false" ht="15" hidden="false" customHeight="false" outlineLevel="0" collapsed="false">
      <c r="A198" s="5" t="s">
        <v>28</v>
      </c>
      <c r="B198" s="5" t="n">
        <v>9264</v>
      </c>
      <c r="C198" s="5" t="s">
        <v>187</v>
      </c>
      <c r="D198" s="14" t="n">
        <v>46019</v>
      </c>
      <c r="E198" s="15" t="n">
        <v>-2.84</v>
      </c>
      <c r="F198" s="5" t="s">
        <v>247</v>
      </c>
      <c r="G198" s="5" t="s">
        <v>178</v>
      </c>
      <c r="H198" s="5" t="s">
        <v>189</v>
      </c>
      <c r="I198" s="5" t="s">
        <v>194</v>
      </c>
      <c r="J198" s="5" t="s">
        <v>197</v>
      </c>
      <c r="K198" s="16" t="n">
        <v>-105</v>
      </c>
      <c r="L198" s="5" t="s">
        <v>192</v>
      </c>
      <c r="M198" s="17" t="n">
        <v>36.976911976912</v>
      </c>
      <c r="N198" s="3" t="str">
        <f aca="false">IF(OR(K198="",M198=""),"",IF(C198="STATS_ONLY","stats",IF(ROUND(K198/M198,2)=E198,"OK","CHECK")))</f>
        <v>OK</v>
      </c>
      <c r="O198" s="3" t="str">
        <f aca="false">TEXT(D198,"yyyy-mm")</f>
        <v>2025-12</v>
      </c>
      <c r="P198" s="13"/>
    </row>
    <row r="199" customFormat="false" ht="15" hidden="false" customHeight="false" outlineLevel="0" collapsed="false">
      <c r="A199" s="5" t="s">
        <v>28</v>
      </c>
      <c r="B199" s="5" t="n">
        <v>9265</v>
      </c>
      <c r="C199" s="5" t="s">
        <v>187</v>
      </c>
      <c r="D199" s="14" t="n">
        <v>46019</v>
      </c>
      <c r="E199" s="15" t="n">
        <v>-1.62</v>
      </c>
      <c r="F199" s="5" t="s">
        <v>198</v>
      </c>
      <c r="G199" s="5" t="s">
        <v>178</v>
      </c>
      <c r="H199" s="5" t="s">
        <v>189</v>
      </c>
      <c r="I199" s="5" t="s">
        <v>194</v>
      </c>
      <c r="J199" s="5" t="s">
        <v>199</v>
      </c>
      <c r="K199" s="16" t="n">
        <v>-60</v>
      </c>
      <c r="L199" s="5" t="s">
        <v>192</v>
      </c>
      <c r="M199" s="17" t="n">
        <v>36.976911976912</v>
      </c>
      <c r="N199" s="3" t="str">
        <f aca="false">IF(OR(K199="",M199=""),"",IF(C199="STATS_ONLY","stats",IF(ROUND(K199/M199,2)=E199,"OK","CHECK")))</f>
        <v>OK</v>
      </c>
      <c r="O199" s="3" t="str">
        <f aca="false">TEXT(D199,"yyyy-mm")</f>
        <v>2025-12</v>
      </c>
      <c r="P199" s="13"/>
    </row>
    <row r="200" customFormat="false" ht="15" hidden="false" customHeight="false" outlineLevel="0" collapsed="false">
      <c r="A200" s="5" t="s">
        <v>28</v>
      </c>
      <c r="B200" s="5" t="n">
        <v>9266</v>
      </c>
      <c r="C200" s="5" t="s">
        <v>187</v>
      </c>
      <c r="D200" s="14" t="n">
        <v>46020</v>
      </c>
      <c r="E200" s="15" t="n">
        <v>-2.57</v>
      </c>
      <c r="F200" s="5" t="s">
        <v>227</v>
      </c>
      <c r="G200" s="5" t="s">
        <v>178</v>
      </c>
      <c r="H200" s="5" t="s">
        <v>189</v>
      </c>
      <c r="I200" s="5" t="s">
        <v>194</v>
      </c>
      <c r="J200" s="5" t="s">
        <v>195</v>
      </c>
      <c r="K200" s="16" t="n">
        <v>-95</v>
      </c>
      <c r="L200" s="5" t="s">
        <v>192</v>
      </c>
      <c r="M200" s="17" t="n">
        <v>36.976911976912</v>
      </c>
      <c r="N200" s="3" t="str">
        <f aca="false">IF(OR(K200="",M200=""),"",IF(C200="STATS_ONLY","stats",IF(ROUND(K200/M200,2)=E200,"OK","CHECK")))</f>
        <v>OK</v>
      </c>
      <c r="O200" s="3" t="str">
        <f aca="false">TEXT(D200,"yyyy-mm")</f>
        <v>2025-12</v>
      </c>
      <c r="P200" s="13"/>
    </row>
    <row r="201" customFormat="false" ht="15" hidden="false" customHeight="false" outlineLevel="0" collapsed="false">
      <c r="A201" s="5" t="s">
        <v>28</v>
      </c>
      <c r="B201" s="5" t="n">
        <v>9267</v>
      </c>
      <c r="C201" s="5" t="s">
        <v>187</v>
      </c>
      <c r="D201" s="14" t="n">
        <v>46021</v>
      </c>
      <c r="E201" s="15" t="n">
        <v>-2.84</v>
      </c>
      <c r="F201" s="5" t="s">
        <v>210</v>
      </c>
      <c r="G201" s="5" t="s">
        <v>178</v>
      </c>
      <c r="H201" s="5" t="s">
        <v>189</v>
      </c>
      <c r="I201" s="5" t="s">
        <v>194</v>
      </c>
      <c r="J201" s="5" t="s">
        <v>197</v>
      </c>
      <c r="K201" s="16" t="n">
        <v>-105</v>
      </c>
      <c r="L201" s="5" t="s">
        <v>192</v>
      </c>
      <c r="M201" s="17" t="n">
        <v>36.976911976912</v>
      </c>
      <c r="N201" s="3" t="str">
        <f aca="false">IF(OR(K201="",M201=""),"",IF(C201="STATS_ONLY","stats",IF(ROUND(K201/M201,2)=E201,"OK","CHECK")))</f>
        <v>OK</v>
      </c>
      <c r="O201" s="3" t="str">
        <f aca="false">TEXT(D201,"yyyy-mm")</f>
        <v>2025-12</v>
      </c>
      <c r="P201" s="13"/>
    </row>
    <row r="202" customFormat="false" ht="15" hidden="false" customHeight="false" outlineLevel="0" collapsed="false">
      <c r="A202" s="5" t="s">
        <v>28</v>
      </c>
      <c r="B202" s="5" t="n">
        <v>9268</v>
      </c>
      <c r="C202" s="5" t="s">
        <v>187</v>
      </c>
      <c r="D202" s="14" t="n">
        <v>46021</v>
      </c>
      <c r="E202" s="15" t="n">
        <v>-0.68</v>
      </c>
      <c r="F202" s="5" t="s">
        <v>248</v>
      </c>
      <c r="G202" s="5" t="s">
        <v>178</v>
      </c>
      <c r="H202" s="5" t="s">
        <v>189</v>
      </c>
      <c r="I202" s="5" t="s">
        <v>194</v>
      </c>
      <c r="J202" s="5" t="s">
        <v>181</v>
      </c>
      <c r="K202" s="16" t="n">
        <v>-25</v>
      </c>
      <c r="L202" s="5" t="s">
        <v>192</v>
      </c>
      <c r="M202" s="17" t="n">
        <v>36.976911976912</v>
      </c>
      <c r="N202" s="3" t="str">
        <f aca="false">IF(OR(K202="",M202=""),"",IF(C202="STATS_ONLY","stats",IF(ROUND(K202/M202,2)=E202,"OK","CHECK")))</f>
        <v>OK</v>
      </c>
      <c r="O202" s="3" t="str">
        <f aca="false">TEXT(D202,"yyyy-mm")</f>
        <v>2025-12</v>
      </c>
      <c r="P202" s="13"/>
    </row>
    <row r="203" customFormat="false" ht="15" hidden="false" customHeight="false" outlineLevel="0" collapsed="false">
      <c r="A203" s="5" t="s">
        <v>28</v>
      </c>
      <c r="B203" s="5" t="n">
        <v>9269</v>
      </c>
      <c r="C203" s="5" t="s">
        <v>187</v>
      </c>
      <c r="D203" s="14" t="n">
        <v>46021</v>
      </c>
      <c r="E203" s="15" t="n">
        <v>-3.11</v>
      </c>
      <c r="F203" s="5" t="s">
        <v>228</v>
      </c>
      <c r="G203" s="5" t="s">
        <v>178</v>
      </c>
      <c r="H203" s="5" t="s">
        <v>189</v>
      </c>
      <c r="I203" s="5" t="s">
        <v>194</v>
      </c>
      <c r="J203" s="5" t="s">
        <v>229</v>
      </c>
      <c r="K203" s="16" t="n">
        <v>-115</v>
      </c>
      <c r="L203" s="5" t="s">
        <v>192</v>
      </c>
      <c r="M203" s="17" t="n">
        <v>36.976911976912</v>
      </c>
      <c r="N203" s="3" t="str">
        <f aca="false">IF(OR(K203="",M203=""),"",IF(C203="STATS_ONLY","stats",IF(ROUND(K203/M203,2)=E203,"OK","CHECK")))</f>
        <v>OK</v>
      </c>
      <c r="O203" s="3" t="str">
        <f aca="false">TEXT(D203,"yyyy-mm")</f>
        <v>2025-12</v>
      </c>
      <c r="P203" s="13"/>
    </row>
    <row r="204" customFormat="false" ht="15" hidden="false" customHeight="false" outlineLevel="0" collapsed="false">
      <c r="A204" s="5" t="s">
        <v>28</v>
      </c>
      <c r="B204" s="5" t="n">
        <v>9270</v>
      </c>
      <c r="C204" s="5" t="s">
        <v>187</v>
      </c>
      <c r="D204" s="14" t="n">
        <v>46022</v>
      </c>
      <c r="E204" s="15" t="n">
        <v>-1.76</v>
      </c>
      <c r="F204" s="5" t="s">
        <v>208</v>
      </c>
      <c r="G204" s="5" t="s">
        <v>178</v>
      </c>
      <c r="H204" s="5" t="s">
        <v>189</v>
      </c>
      <c r="I204" s="5" t="s">
        <v>194</v>
      </c>
      <c r="J204" s="5" t="s">
        <v>209</v>
      </c>
      <c r="K204" s="16" t="n">
        <v>-65</v>
      </c>
      <c r="L204" s="5" t="s">
        <v>192</v>
      </c>
      <c r="M204" s="17" t="n">
        <v>36.976911976912</v>
      </c>
      <c r="N204" s="3" t="str">
        <f aca="false">IF(OR(K204="",M204=""),"",IF(C204="STATS_ONLY","stats",IF(ROUND(K204/M204,2)=E204,"OK","CHECK")))</f>
        <v>OK</v>
      </c>
      <c r="O204" s="3" t="str">
        <f aca="false">TEXT(D204,"yyyy-mm")</f>
        <v>2025-12</v>
      </c>
      <c r="P204" s="13"/>
    </row>
    <row r="205" customFormat="false" ht="15" hidden="false" customHeight="false" outlineLevel="0" collapsed="false">
      <c r="A205" s="5" t="s">
        <v>28</v>
      </c>
      <c r="B205" s="5" t="n">
        <v>9271</v>
      </c>
      <c r="C205" s="5" t="s">
        <v>187</v>
      </c>
      <c r="D205" s="14" t="n">
        <v>46022</v>
      </c>
      <c r="E205" s="15" t="n">
        <v>-1.49</v>
      </c>
      <c r="F205" s="5" t="s">
        <v>198</v>
      </c>
      <c r="G205" s="5" t="s">
        <v>178</v>
      </c>
      <c r="H205" s="5" t="s">
        <v>189</v>
      </c>
      <c r="I205" s="5" t="s">
        <v>194</v>
      </c>
      <c r="J205" s="5" t="s">
        <v>199</v>
      </c>
      <c r="K205" s="16" t="n">
        <v>-55</v>
      </c>
      <c r="L205" s="5" t="s">
        <v>192</v>
      </c>
      <c r="M205" s="17" t="n">
        <v>36.976911976912</v>
      </c>
      <c r="N205" s="3" t="str">
        <f aca="false">IF(OR(K205="",M205=""),"",IF(C205="STATS_ONLY","stats",IF(ROUND(K205/M205,2)=E205,"OK","CHECK")))</f>
        <v>OK</v>
      </c>
      <c r="O205" s="3" t="str">
        <f aca="false">TEXT(D205,"yyyy-mm")</f>
        <v>2025-12</v>
      </c>
      <c r="P205" s="13"/>
    </row>
    <row r="206" customFormat="false" ht="15" hidden="false" customHeight="false" outlineLevel="0" collapsed="false">
      <c r="A206" s="5" t="s">
        <v>28</v>
      </c>
      <c r="B206" s="5" t="n">
        <v>9272</v>
      </c>
      <c r="C206" s="5" t="s">
        <v>152</v>
      </c>
      <c r="D206" s="14" t="n">
        <v>46023</v>
      </c>
      <c r="E206" s="15" t="n">
        <v>-100.26</v>
      </c>
      <c r="F206" s="5" t="s">
        <v>258</v>
      </c>
      <c r="G206" s="5" t="s">
        <v>167</v>
      </c>
      <c r="H206" s="5" t="s">
        <v>167</v>
      </c>
      <c r="I206" s="5" t="s">
        <v>168</v>
      </c>
      <c r="J206" s="5"/>
      <c r="K206" s="16"/>
      <c r="L206" s="5"/>
      <c r="M206" s="17"/>
      <c r="N206" s="3" t="str">
        <f aca="false">IF(OR(K206="",M206=""),"",IF(C206="STATS_ONLY","stats",IF(ROUND(K206/M206,2)=E206,"OK","CHECK")))</f>
        <v/>
      </c>
      <c r="O206" s="3" t="str">
        <f aca="false">TEXT(D206,"yyyy-mm")</f>
        <v>2026-01</v>
      </c>
      <c r="P206" s="13" t="s">
        <v>169</v>
      </c>
    </row>
    <row r="207" customFormat="false" ht="15" hidden="false" customHeight="false" outlineLevel="0" collapsed="false">
      <c r="A207" s="5" t="s">
        <v>28</v>
      </c>
      <c r="B207" s="5" t="n">
        <v>9272</v>
      </c>
      <c r="C207" s="5" t="s">
        <v>259</v>
      </c>
      <c r="D207" s="14" t="n">
        <v>46023</v>
      </c>
      <c r="E207" s="15" t="n">
        <v>100.26</v>
      </c>
      <c r="F207" s="5" t="s">
        <v>258</v>
      </c>
      <c r="G207" s="5" t="s">
        <v>167</v>
      </c>
      <c r="H207" s="5" t="s">
        <v>167</v>
      </c>
      <c r="I207" s="5" t="s">
        <v>168</v>
      </c>
      <c r="J207" s="5" t="s">
        <v>203</v>
      </c>
      <c r="K207" s="16" t="n">
        <v>3000000</v>
      </c>
      <c r="L207" s="5" t="s">
        <v>260</v>
      </c>
      <c r="M207" s="18" t="n">
        <f aca="false">K207/E207</f>
        <v>29922.2022740874</v>
      </c>
      <c r="N207" s="3" t="str">
        <f aca="false">IF(OR(K207="",M207=""),"",IF(C207="STATS_ONLY","stats",IF(ROUND(K207/M207,2)=E207,"OK","CHECK")))</f>
        <v>OK</v>
      </c>
      <c r="O207" s="3" t="str">
        <f aca="false">TEXT(D207,"yyyy-mm")</f>
        <v>2026-01</v>
      </c>
      <c r="P207" s="13" t="s">
        <v>170</v>
      </c>
    </row>
    <row r="208" customFormat="false" ht="15" hidden="false" customHeight="false" outlineLevel="0" collapsed="false">
      <c r="A208" s="5" t="s">
        <v>28</v>
      </c>
      <c r="B208" s="5" t="n">
        <v>9273</v>
      </c>
      <c r="C208" s="5" t="s">
        <v>259</v>
      </c>
      <c r="D208" s="14" t="n">
        <v>46023</v>
      </c>
      <c r="E208" s="15" t="n">
        <v>-2.17</v>
      </c>
      <c r="F208" s="5" t="s">
        <v>261</v>
      </c>
      <c r="G208" s="5" t="s">
        <v>178</v>
      </c>
      <c r="H208" s="5" t="s">
        <v>189</v>
      </c>
      <c r="I208" s="5" t="s">
        <v>194</v>
      </c>
      <c r="J208" s="5" t="s">
        <v>195</v>
      </c>
      <c r="K208" s="16" t="n">
        <v>-65000</v>
      </c>
      <c r="L208" s="5" t="s">
        <v>260</v>
      </c>
      <c r="M208" s="17" t="n">
        <v>29922.2022740874</v>
      </c>
      <c r="N208" s="3" t="str">
        <f aca="false">IF(OR(K208="",M208=""),"",IF(C208="STATS_ONLY","stats",IF(ROUND(K208/M208,2)=E208,"OK","CHECK")))</f>
        <v>OK</v>
      </c>
      <c r="O208" s="3" t="str">
        <f aca="false">TEXT(D208,"yyyy-mm")</f>
        <v>2026-01</v>
      </c>
      <c r="P208" s="13"/>
    </row>
    <row r="209" customFormat="false" ht="15" hidden="false" customHeight="false" outlineLevel="0" collapsed="false">
      <c r="A209" s="5" t="s">
        <v>28</v>
      </c>
      <c r="B209" s="5" t="n">
        <v>9274</v>
      </c>
      <c r="C209" s="5" t="s">
        <v>259</v>
      </c>
      <c r="D209" s="14" t="n">
        <v>46023</v>
      </c>
      <c r="E209" s="15" t="n">
        <v>-1.84</v>
      </c>
      <c r="F209" s="5" t="s">
        <v>262</v>
      </c>
      <c r="G209" s="5" t="s">
        <v>178</v>
      </c>
      <c r="H209" s="5" t="s">
        <v>189</v>
      </c>
      <c r="I209" s="5" t="s">
        <v>194</v>
      </c>
      <c r="J209" s="5" t="s">
        <v>209</v>
      </c>
      <c r="K209" s="16" t="n">
        <v>-55000</v>
      </c>
      <c r="L209" s="5" t="s">
        <v>260</v>
      </c>
      <c r="M209" s="17" t="n">
        <v>29922.2022740874</v>
      </c>
      <c r="N209" s="3" t="str">
        <f aca="false">IF(OR(K209="",M209=""),"",IF(C209="STATS_ONLY","stats",IF(ROUND(K209/M209,2)=E209,"OK","CHECK")))</f>
        <v>OK</v>
      </c>
      <c r="O209" s="3" t="str">
        <f aca="false">TEXT(D209,"yyyy-mm")</f>
        <v>2026-01</v>
      </c>
      <c r="P209" s="13"/>
    </row>
    <row r="210" customFormat="false" ht="15" hidden="false" customHeight="false" outlineLevel="0" collapsed="false">
      <c r="A210" s="5" t="s">
        <v>28</v>
      </c>
      <c r="B210" s="5" t="n">
        <v>9275</v>
      </c>
      <c r="C210" s="5" t="s">
        <v>259</v>
      </c>
      <c r="D210" s="14" t="n">
        <v>46023</v>
      </c>
      <c r="E210" s="15" t="n">
        <v>-4.18</v>
      </c>
      <c r="F210" s="5" t="s">
        <v>217</v>
      </c>
      <c r="G210" s="5" t="s">
        <v>178</v>
      </c>
      <c r="H210" s="5" t="s">
        <v>189</v>
      </c>
      <c r="I210" s="5" t="s">
        <v>194</v>
      </c>
      <c r="J210" s="5" t="s">
        <v>197</v>
      </c>
      <c r="K210" s="16" t="n">
        <v>-125000</v>
      </c>
      <c r="L210" s="5" t="s">
        <v>260</v>
      </c>
      <c r="M210" s="17" t="n">
        <v>29922.2022740874</v>
      </c>
      <c r="N210" s="3" t="str">
        <f aca="false">IF(OR(K210="",M210=""),"",IF(C210="STATS_ONLY","stats",IF(ROUND(K210/M210,2)=E210,"OK","CHECK")))</f>
        <v>OK</v>
      </c>
      <c r="O210" s="3" t="str">
        <f aca="false">TEXT(D210,"yyyy-mm")</f>
        <v>2026-01</v>
      </c>
      <c r="P210" s="13"/>
    </row>
    <row r="211" customFormat="false" ht="15" hidden="false" customHeight="false" outlineLevel="0" collapsed="false">
      <c r="A211" s="5" t="s">
        <v>28</v>
      </c>
      <c r="B211" s="5" t="n">
        <v>9276</v>
      </c>
      <c r="C211" s="5" t="s">
        <v>259</v>
      </c>
      <c r="D211" s="14" t="n">
        <v>46023</v>
      </c>
      <c r="E211" s="15" t="n">
        <v>-0.84</v>
      </c>
      <c r="F211" s="5" t="s">
        <v>263</v>
      </c>
      <c r="G211" s="5" t="s">
        <v>178</v>
      </c>
      <c r="H211" s="5" t="s">
        <v>189</v>
      </c>
      <c r="I211" s="5" t="s">
        <v>194</v>
      </c>
      <c r="J211" s="5" t="s">
        <v>181</v>
      </c>
      <c r="K211" s="16" t="n">
        <v>-25000</v>
      </c>
      <c r="L211" s="5" t="s">
        <v>260</v>
      </c>
      <c r="M211" s="17" t="n">
        <v>29922.2022740874</v>
      </c>
      <c r="N211" s="3" t="str">
        <f aca="false">IF(OR(K211="",M211=""),"",IF(C211="STATS_ONLY","stats",IF(ROUND(K211/M211,2)=E211,"OK","CHECK")))</f>
        <v>OK</v>
      </c>
      <c r="O211" s="3" t="str">
        <f aca="false">TEXT(D211,"yyyy-mm")</f>
        <v>2026-01</v>
      </c>
      <c r="P211" s="13"/>
    </row>
    <row r="212" customFormat="false" ht="15" hidden="false" customHeight="false" outlineLevel="0" collapsed="false">
      <c r="A212" s="5" t="s">
        <v>28</v>
      </c>
      <c r="B212" s="5" t="n">
        <v>9604</v>
      </c>
      <c r="C212" s="5" t="s">
        <v>152</v>
      </c>
      <c r="D212" s="14" t="n">
        <v>46023</v>
      </c>
      <c r="E212" s="15" t="n">
        <v>-15</v>
      </c>
      <c r="F212" s="5" t="s">
        <v>162</v>
      </c>
      <c r="G212" s="5" t="s">
        <v>163</v>
      </c>
      <c r="H212" s="5" t="s">
        <v>164</v>
      </c>
      <c r="I212" s="5" t="s">
        <v>165</v>
      </c>
      <c r="J212" s="5"/>
      <c r="K212" s="16"/>
      <c r="L212" s="5"/>
      <c r="M212" s="17"/>
      <c r="N212" s="3" t="str">
        <f aca="false">IF(OR(K212="",M212=""),"",IF(C212="STATS_ONLY","stats",IF(ROUND(K212/M212,2)=E212,"OK","CHECK")))</f>
        <v/>
      </c>
      <c r="O212" s="3" t="str">
        <f aca="false">TEXT(D212,"yyyy-mm")</f>
        <v>2026-01</v>
      </c>
      <c r="P212" s="13"/>
    </row>
    <row r="213" customFormat="false" ht="15" hidden="false" customHeight="false" outlineLevel="0" collapsed="false">
      <c r="A213" s="5" t="s">
        <v>28</v>
      </c>
      <c r="B213" s="5" t="n">
        <v>9605</v>
      </c>
      <c r="C213" s="5" t="s">
        <v>152</v>
      </c>
      <c r="D213" s="14" t="n">
        <v>46023</v>
      </c>
      <c r="E213" s="15" t="n">
        <v>-100</v>
      </c>
      <c r="F213" s="5" t="s">
        <v>166</v>
      </c>
      <c r="G213" s="5" t="s">
        <v>167</v>
      </c>
      <c r="H213" s="5" t="s">
        <v>167</v>
      </c>
      <c r="I213" s="5" t="s">
        <v>168</v>
      </c>
      <c r="J213" s="5"/>
      <c r="K213" s="16"/>
      <c r="L213" s="5"/>
      <c r="M213" s="17"/>
      <c r="N213" s="3" t="str">
        <f aca="false">IF(OR(K213="",M213=""),"",IF(C213="STATS_ONLY","stats",IF(ROUND(K213/M213,2)=E213,"OK","CHECK")))</f>
        <v/>
      </c>
      <c r="O213" s="3" t="str">
        <f aca="false">TEXT(D213,"yyyy-mm")</f>
        <v>2026-01</v>
      </c>
      <c r="P213" s="13" t="s">
        <v>169</v>
      </c>
    </row>
    <row r="214" customFormat="false" ht="15" hidden="false" customHeight="false" outlineLevel="0" collapsed="false">
      <c r="A214" s="5" t="s">
        <v>28</v>
      </c>
      <c r="B214" s="5" t="n">
        <v>9605</v>
      </c>
      <c r="C214" s="5" t="s">
        <v>158</v>
      </c>
      <c r="D214" s="14" t="n">
        <v>46023</v>
      </c>
      <c r="E214" s="15" t="n">
        <v>100</v>
      </c>
      <c r="F214" s="5" t="s">
        <v>166</v>
      </c>
      <c r="G214" s="5" t="s">
        <v>167</v>
      </c>
      <c r="H214" s="5" t="s">
        <v>167</v>
      </c>
      <c r="I214" s="5" t="s">
        <v>168</v>
      </c>
      <c r="J214" s="5"/>
      <c r="K214" s="16"/>
      <c r="L214" s="5"/>
      <c r="M214" s="17"/>
      <c r="N214" s="3" t="str">
        <f aca="false">IF(OR(K214="",M214=""),"",IF(C214="STATS_ONLY","stats",IF(ROUND(K214/M214,2)=E214,"OK","CHECK")))</f>
        <v/>
      </c>
      <c r="O214" s="3" t="str">
        <f aca="false">TEXT(D214,"yyyy-mm")</f>
        <v>2026-01</v>
      </c>
      <c r="P214" s="13" t="s">
        <v>170</v>
      </c>
    </row>
    <row r="215" customFormat="false" ht="15" hidden="false" customHeight="false" outlineLevel="0" collapsed="false">
      <c r="A215" s="5" t="s">
        <v>28</v>
      </c>
      <c r="B215" s="5" t="n">
        <v>9653</v>
      </c>
      <c r="C215" s="5" t="s">
        <v>157</v>
      </c>
      <c r="D215" s="14" t="n">
        <v>46023</v>
      </c>
      <c r="E215" s="15" t="n">
        <v>148.2</v>
      </c>
      <c r="F215" s="5" t="s">
        <v>264</v>
      </c>
      <c r="G215" s="5" t="s">
        <v>265</v>
      </c>
      <c r="H215" s="5" t="s">
        <v>266</v>
      </c>
      <c r="I215" s="5" t="s">
        <v>267</v>
      </c>
      <c r="J215" s="5"/>
      <c r="K215" s="16"/>
      <c r="L215" s="5"/>
      <c r="M215" s="17"/>
      <c r="N215" s="3" t="str">
        <f aca="false">IF(OR(K215="",M215=""),"",IF(C215="STATS_ONLY","stats",IF(ROUND(K215/M215,2)=E215,"OK","CHECK")))</f>
        <v/>
      </c>
      <c r="O215" s="3" t="str">
        <f aca="false">TEXT(D215,"yyyy-mm")</f>
        <v>2026-01</v>
      </c>
      <c r="P215" s="13"/>
    </row>
    <row r="216" customFormat="false" ht="15" hidden="false" customHeight="false" outlineLevel="0" collapsed="false">
      <c r="A216" s="5" t="s">
        <v>28</v>
      </c>
      <c r="B216" s="5" t="n">
        <v>9001</v>
      </c>
      <c r="C216" s="5" t="s">
        <v>152</v>
      </c>
      <c r="D216" s="14" t="n">
        <v>46024</v>
      </c>
      <c r="E216" s="15" t="n">
        <v>-100</v>
      </c>
      <c r="F216" s="5" t="s">
        <v>268</v>
      </c>
      <c r="G216" s="5" t="s">
        <v>167</v>
      </c>
      <c r="H216" s="5" t="s">
        <v>167</v>
      </c>
      <c r="I216" s="5" t="s">
        <v>168</v>
      </c>
      <c r="J216" s="5"/>
      <c r="K216" s="16"/>
      <c r="L216" s="5"/>
      <c r="M216" s="17"/>
      <c r="N216" s="3" t="str">
        <f aca="false">IF(OR(K216="",M216=""),"",IF(C216="STATS_ONLY","stats",IF(ROUND(K216/M216,2)=E216,"OK","CHECK")))</f>
        <v/>
      </c>
      <c r="O216" s="3" t="str">
        <f aca="false">TEXT(D216,"yyyy-mm")</f>
        <v>2026-01</v>
      </c>
      <c r="P216" s="13" t="s">
        <v>169</v>
      </c>
    </row>
    <row r="217" customFormat="false" ht="15" hidden="false" customHeight="false" outlineLevel="0" collapsed="false">
      <c r="A217" s="5" t="s">
        <v>28</v>
      </c>
      <c r="B217" s="5" t="n">
        <v>9001</v>
      </c>
      <c r="C217" s="5" t="s">
        <v>259</v>
      </c>
      <c r="D217" s="14" t="n">
        <v>46024</v>
      </c>
      <c r="E217" s="15" t="n">
        <v>100</v>
      </c>
      <c r="F217" s="5" t="s">
        <v>268</v>
      </c>
      <c r="G217" s="5" t="s">
        <v>167</v>
      </c>
      <c r="H217" s="5" t="s">
        <v>167</v>
      </c>
      <c r="I217" s="5" t="s">
        <v>168</v>
      </c>
      <c r="J217" s="5" t="s">
        <v>203</v>
      </c>
      <c r="K217" s="16" t="n">
        <v>3000000</v>
      </c>
      <c r="L217" s="5" t="s">
        <v>260</v>
      </c>
      <c r="M217" s="18" t="n">
        <f aca="false">K217/E217</f>
        <v>30000</v>
      </c>
      <c r="N217" s="3" t="str">
        <f aca="false">IF(OR(K217="",M217=""),"",IF(C217="STATS_ONLY","stats",IF(ROUND(K217/M217,2)=E217,"OK","CHECK")))</f>
        <v>OK</v>
      </c>
      <c r="O217" s="3" t="str">
        <f aca="false">TEXT(D217,"yyyy-mm")</f>
        <v>2026-01</v>
      </c>
      <c r="P217" s="13" t="s">
        <v>170</v>
      </c>
    </row>
    <row r="218" customFormat="false" ht="15" hidden="false" customHeight="false" outlineLevel="0" collapsed="false">
      <c r="A218" s="5" t="s">
        <v>28</v>
      </c>
      <c r="B218" s="5" t="n">
        <v>9277</v>
      </c>
      <c r="C218" s="5" t="s">
        <v>152</v>
      </c>
      <c r="D218" s="14" t="n">
        <v>46024</v>
      </c>
      <c r="E218" s="15" t="n">
        <v>-165.35</v>
      </c>
      <c r="F218" s="5" t="s">
        <v>269</v>
      </c>
      <c r="G218" s="5" t="s">
        <v>167</v>
      </c>
      <c r="H218" s="5" t="s">
        <v>167</v>
      </c>
      <c r="I218" s="5" t="s">
        <v>168</v>
      </c>
      <c r="J218" s="5"/>
      <c r="K218" s="16"/>
      <c r="L218" s="5"/>
      <c r="M218" s="17"/>
      <c r="N218" s="3" t="str">
        <f aca="false">IF(OR(K218="",M218=""),"",IF(C218="STATS_ONLY","stats",IF(ROUND(K218/M218,2)=E218,"OK","CHECK")))</f>
        <v/>
      </c>
      <c r="O218" s="3" t="str">
        <f aca="false">TEXT(D218,"yyyy-mm")</f>
        <v>2026-01</v>
      </c>
      <c r="P218" s="13" t="s">
        <v>169</v>
      </c>
    </row>
    <row r="219" customFormat="false" ht="15" hidden="false" customHeight="false" outlineLevel="0" collapsed="false">
      <c r="A219" s="5" t="s">
        <v>28</v>
      </c>
      <c r="B219" s="5" t="n">
        <v>9277</v>
      </c>
      <c r="C219" s="5" t="s">
        <v>259</v>
      </c>
      <c r="D219" s="14" t="n">
        <v>46024</v>
      </c>
      <c r="E219" s="15" t="n">
        <v>165.35</v>
      </c>
      <c r="F219" s="5" t="s">
        <v>269</v>
      </c>
      <c r="G219" s="5" t="s">
        <v>167</v>
      </c>
      <c r="H219" s="5" t="s">
        <v>167</v>
      </c>
      <c r="I219" s="5" t="s">
        <v>168</v>
      </c>
      <c r="J219" s="5" t="s">
        <v>203</v>
      </c>
      <c r="K219" s="16" t="n">
        <v>5000000</v>
      </c>
      <c r="L219" s="5" t="s">
        <v>260</v>
      </c>
      <c r="M219" s="18" t="n">
        <f aca="false">K219/E219</f>
        <v>30238.8872089507</v>
      </c>
      <c r="N219" s="3" t="str">
        <f aca="false">IF(OR(K219="",M219=""),"",IF(C219="STATS_ONLY","stats",IF(ROUND(K219/M219,2)=E219,"OK","CHECK")))</f>
        <v>OK</v>
      </c>
      <c r="O219" s="3" t="str">
        <f aca="false">TEXT(D219,"yyyy-mm")</f>
        <v>2026-01</v>
      </c>
      <c r="P219" s="13" t="s">
        <v>170</v>
      </c>
    </row>
    <row r="220" customFormat="false" ht="15" hidden="false" customHeight="false" outlineLevel="0" collapsed="false">
      <c r="A220" s="5" t="s">
        <v>28</v>
      </c>
      <c r="B220" s="5" t="n">
        <v>9278</v>
      </c>
      <c r="C220" s="5" t="s">
        <v>259</v>
      </c>
      <c r="D220" s="14" t="n">
        <v>46024</v>
      </c>
      <c r="E220" s="15" t="n">
        <v>-205.03</v>
      </c>
      <c r="F220" s="5" t="s">
        <v>188</v>
      </c>
      <c r="G220" s="5" t="s">
        <v>178</v>
      </c>
      <c r="H220" s="5" t="s">
        <v>189</v>
      </c>
      <c r="I220" s="5" t="s">
        <v>190</v>
      </c>
      <c r="J220" s="5" t="s">
        <v>191</v>
      </c>
      <c r="K220" s="16" t="n">
        <v>-6200000</v>
      </c>
      <c r="L220" s="5" t="s">
        <v>260</v>
      </c>
      <c r="M220" s="17" t="n">
        <v>30238.8872089507</v>
      </c>
      <c r="N220" s="3" t="str">
        <f aca="false">IF(OR(K220="",M220=""),"",IF(C220="STATS_ONLY","stats",IF(ROUND(K220/M220,2)=E220,"OK","CHECK")))</f>
        <v>OK</v>
      </c>
      <c r="O220" s="3" t="str">
        <f aca="false">TEXT(D220,"yyyy-mm")</f>
        <v>2026-01</v>
      </c>
      <c r="P220" s="13"/>
    </row>
    <row r="221" customFormat="false" ht="15" hidden="false" customHeight="false" outlineLevel="0" collapsed="false">
      <c r="A221" s="5" t="s">
        <v>28</v>
      </c>
      <c r="B221" s="5" t="n">
        <v>9279</v>
      </c>
      <c r="C221" s="5" t="s">
        <v>259</v>
      </c>
      <c r="D221" s="14" t="n">
        <v>46024</v>
      </c>
      <c r="E221" s="15" t="n">
        <v>-2.15</v>
      </c>
      <c r="F221" s="5" t="s">
        <v>261</v>
      </c>
      <c r="G221" s="5" t="s">
        <v>178</v>
      </c>
      <c r="H221" s="5" t="s">
        <v>189</v>
      </c>
      <c r="I221" s="5" t="s">
        <v>194</v>
      </c>
      <c r="J221" s="5" t="s">
        <v>195</v>
      </c>
      <c r="K221" s="16" t="n">
        <v>-65000</v>
      </c>
      <c r="L221" s="5" t="s">
        <v>260</v>
      </c>
      <c r="M221" s="17" t="n">
        <v>30238.8872089507</v>
      </c>
      <c r="N221" s="3" t="str">
        <f aca="false">IF(OR(K221="",M221=""),"",IF(C221="STATS_ONLY","stats",IF(ROUND(K221/M221,2)=E221,"OK","CHECK")))</f>
        <v>OK</v>
      </c>
      <c r="O221" s="3" t="str">
        <f aca="false">TEXT(D221,"yyyy-mm")</f>
        <v>2026-01</v>
      </c>
      <c r="P221" s="13"/>
    </row>
    <row r="222" customFormat="false" ht="15" hidden="false" customHeight="false" outlineLevel="0" collapsed="false">
      <c r="A222" s="5" t="s">
        <v>28</v>
      </c>
      <c r="B222" s="5" t="n">
        <v>9280</v>
      </c>
      <c r="C222" s="5" t="s">
        <v>259</v>
      </c>
      <c r="D222" s="14" t="n">
        <v>46024</v>
      </c>
      <c r="E222" s="15" t="n">
        <v>-3.47</v>
      </c>
      <c r="F222" s="5" t="s">
        <v>217</v>
      </c>
      <c r="G222" s="5" t="s">
        <v>178</v>
      </c>
      <c r="H222" s="5" t="s">
        <v>189</v>
      </c>
      <c r="I222" s="5" t="s">
        <v>194</v>
      </c>
      <c r="J222" s="5" t="s">
        <v>197</v>
      </c>
      <c r="K222" s="16" t="n">
        <v>-105000</v>
      </c>
      <c r="L222" s="5" t="s">
        <v>260</v>
      </c>
      <c r="M222" s="17" t="n">
        <v>30238.8872089507</v>
      </c>
      <c r="N222" s="3" t="str">
        <f aca="false">IF(OR(K222="",M222=""),"",IF(C222="STATS_ONLY","stats",IF(ROUND(K222/M222,2)=E222,"OK","CHECK")))</f>
        <v>OK</v>
      </c>
      <c r="O222" s="3" t="str">
        <f aca="false">TEXT(D222,"yyyy-mm")</f>
        <v>2026-01</v>
      </c>
      <c r="P222" s="13"/>
    </row>
    <row r="223" customFormat="false" ht="15" hidden="false" customHeight="false" outlineLevel="0" collapsed="false">
      <c r="A223" s="5" t="s">
        <v>28</v>
      </c>
      <c r="B223" s="5" t="n">
        <v>9281</v>
      </c>
      <c r="C223" s="5" t="s">
        <v>259</v>
      </c>
      <c r="D223" s="14" t="n">
        <v>46024</v>
      </c>
      <c r="E223" s="15" t="n">
        <v>-1.49</v>
      </c>
      <c r="F223" s="5" t="s">
        <v>270</v>
      </c>
      <c r="G223" s="5" t="s">
        <v>178</v>
      </c>
      <c r="H223" s="5" t="s">
        <v>189</v>
      </c>
      <c r="I223" s="5" t="s">
        <v>194</v>
      </c>
      <c r="J223" s="5" t="s">
        <v>199</v>
      </c>
      <c r="K223" s="16" t="n">
        <v>-45000</v>
      </c>
      <c r="L223" s="5" t="s">
        <v>260</v>
      </c>
      <c r="M223" s="17" t="n">
        <v>30238.8872089507</v>
      </c>
      <c r="N223" s="3" t="str">
        <f aca="false">IF(OR(K223="",M223=""),"",IF(C223="STATS_ONLY","stats",IF(ROUND(K223/M223,2)=E223,"OK","CHECK")))</f>
        <v>OK</v>
      </c>
      <c r="O223" s="3" t="str">
        <f aca="false">TEXT(D223,"yyyy-mm")</f>
        <v>2026-01</v>
      </c>
      <c r="P223" s="13"/>
    </row>
    <row r="224" customFormat="false" ht="15" hidden="false" customHeight="false" outlineLevel="0" collapsed="false">
      <c r="A224" s="5" t="s">
        <v>28</v>
      </c>
      <c r="B224" s="5" t="n">
        <v>9282</v>
      </c>
      <c r="C224" s="5" t="s">
        <v>259</v>
      </c>
      <c r="D224" s="14" t="n">
        <v>46024</v>
      </c>
      <c r="E224" s="15" t="n">
        <v>-0.33</v>
      </c>
      <c r="F224" s="5" t="s">
        <v>271</v>
      </c>
      <c r="G224" s="5" t="s">
        <v>178</v>
      </c>
      <c r="H224" s="5" t="s">
        <v>189</v>
      </c>
      <c r="I224" s="5" t="s">
        <v>194</v>
      </c>
      <c r="J224" s="5" t="s">
        <v>181</v>
      </c>
      <c r="K224" s="16" t="n">
        <v>-10000</v>
      </c>
      <c r="L224" s="5" t="s">
        <v>260</v>
      </c>
      <c r="M224" s="17" t="n">
        <v>30238.8872089507</v>
      </c>
      <c r="N224" s="3" t="str">
        <f aca="false">IF(OR(K224="",M224=""),"",IF(C224="STATS_ONLY","stats",IF(ROUND(K224/M224,2)=E224,"OK","CHECK")))</f>
        <v>OK</v>
      </c>
      <c r="O224" s="3" t="str">
        <f aca="false">TEXT(D224,"yyyy-mm")</f>
        <v>2026-01</v>
      </c>
      <c r="P224" s="13"/>
    </row>
    <row r="225" customFormat="false" ht="15" hidden="false" customHeight="false" outlineLevel="0" collapsed="false">
      <c r="A225" s="5" t="s">
        <v>28</v>
      </c>
      <c r="B225" s="5" t="n">
        <v>9005</v>
      </c>
      <c r="C225" s="5" t="s">
        <v>259</v>
      </c>
      <c r="D225" s="14" t="n">
        <v>46025</v>
      </c>
      <c r="E225" s="15" t="n">
        <v>-3</v>
      </c>
      <c r="F225" s="5" t="s">
        <v>272</v>
      </c>
      <c r="G225" s="5" t="s">
        <v>178</v>
      </c>
      <c r="H225" s="5" t="s">
        <v>189</v>
      </c>
      <c r="I225" s="5" t="s">
        <v>194</v>
      </c>
      <c r="J225" s="5" t="s">
        <v>209</v>
      </c>
      <c r="K225" s="16" t="n">
        <v>-90000</v>
      </c>
      <c r="L225" s="5" t="s">
        <v>260</v>
      </c>
      <c r="M225" s="17" t="n">
        <v>30000</v>
      </c>
      <c r="N225" s="3" t="str">
        <f aca="false">IF(OR(K225="",M225=""),"",IF(C225="STATS_ONLY","stats",IF(ROUND(K225/M225,2)=E225,"OK","CHECK")))</f>
        <v>OK</v>
      </c>
      <c r="O225" s="3" t="str">
        <f aca="false">TEXT(D225,"yyyy-mm")</f>
        <v>2026-01</v>
      </c>
      <c r="P225" s="13"/>
    </row>
    <row r="226" customFormat="false" ht="15" hidden="false" customHeight="false" outlineLevel="0" collapsed="false">
      <c r="A226" s="5" t="s">
        <v>28</v>
      </c>
      <c r="B226" s="5" t="n">
        <v>9283</v>
      </c>
      <c r="C226" s="5" t="s">
        <v>259</v>
      </c>
      <c r="D226" s="14" t="n">
        <v>46025</v>
      </c>
      <c r="E226" s="15" t="n">
        <v>-1.65</v>
      </c>
      <c r="F226" s="5" t="s">
        <v>262</v>
      </c>
      <c r="G226" s="5" t="s">
        <v>178</v>
      </c>
      <c r="H226" s="5" t="s">
        <v>189</v>
      </c>
      <c r="I226" s="5" t="s">
        <v>194</v>
      </c>
      <c r="J226" s="5" t="s">
        <v>209</v>
      </c>
      <c r="K226" s="16" t="n">
        <v>-50000</v>
      </c>
      <c r="L226" s="5" t="s">
        <v>260</v>
      </c>
      <c r="M226" s="17" t="n">
        <v>30238.8872089507</v>
      </c>
      <c r="N226" s="3" t="str">
        <f aca="false">IF(OR(K226="",M226=""),"",IF(C226="STATS_ONLY","stats",IF(ROUND(K226/M226,2)=E226,"OK","CHECK")))</f>
        <v>OK</v>
      </c>
      <c r="O226" s="3" t="str">
        <f aca="false">TEXT(D226,"yyyy-mm")</f>
        <v>2026-01</v>
      </c>
      <c r="P226" s="13"/>
    </row>
    <row r="227" customFormat="false" ht="15" hidden="false" customHeight="false" outlineLevel="0" collapsed="false">
      <c r="A227" s="5" t="s">
        <v>28</v>
      </c>
      <c r="B227" s="5" t="n">
        <v>9284</v>
      </c>
      <c r="C227" s="5" t="s">
        <v>259</v>
      </c>
      <c r="D227" s="14" t="n">
        <v>46025</v>
      </c>
      <c r="E227" s="15" t="n">
        <v>-1.32</v>
      </c>
      <c r="F227" s="5" t="s">
        <v>270</v>
      </c>
      <c r="G227" s="5" t="s">
        <v>178</v>
      </c>
      <c r="H227" s="5" t="s">
        <v>189</v>
      </c>
      <c r="I227" s="5" t="s">
        <v>194</v>
      </c>
      <c r="J227" s="5" t="s">
        <v>199</v>
      </c>
      <c r="K227" s="16" t="n">
        <v>-40000</v>
      </c>
      <c r="L227" s="5" t="s">
        <v>260</v>
      </c>
      <c r="M227" s="17" t="n">
        <v>30238.8872089507</v>
      </c>
      <c r="N227" s="3" t="str">
        <f aca="false">IF(OR(K227="",M227=""),"",IF(C227="STATS_ONLY","stats",IF(ROUND(K227/M227,2)=E227,"OK","CHECK")))</f>
        <v>OK</v>
      </c>
      <c r="O227" s="3" t="str">
        <f aca="false">TEXT(D227,"yyyy-mm")</f>
        <v>2026-01</v>
      </c>
      <c r="P227" s="13"/>
    </row>
    <row r="228" customFormat="false" ht="15" hidden="false" customHeight="false" outlineLevel="0" collapsed="false">
      <c r="A228" s="5" t="s">
        <v>28</v>
      </c>
      <c r="B228" s="5" t="n">
        <v>9285</v>
      </c>
      <c r="C228" s="5" t="s">
        <v>259</v>
      </c>
      <c r="D228" s="14" t="n">
        <v>46025</v>
      </c>
      <c r="E228" s="15" t="n">
        <v>-5.13</v>
      </c>
      <c r="F228" s="5" t="s">
        <v>236</v>
      </c>
      <c r="G228" s="5" t="s">
        <v>178</v>
      </c>
      <c r="H228" s="5" t="s">
        <v>189</v>
      </c>
      <c r="I228" s="5" t="s">
        <v>194</v>
      </c>
      <c r="J228" s="5" t="s">
        <v>237</v>
      </c>
      <c r="K228" s="16" t="n">
        <v>-155000</v>
      </c>
      <c r="L228" s="5" t="s">
        <v>260</v>
      </c>
      <c r="M228" s="17" t="n">
        <v>30238.8872089507</v>
      </c>
      <c r="N228" s="3" t="str">
        <f aca="false">IF(OR(K228="",M228=""),"",IF(C228="STATS_ONLY","stats",IF(ROUND(K228/M228,2)=E228,"OK","CHECK")))</f>
        <v>OK</v>
      </c>
      <c r="O228" s="3" t="str">
        <f aca="false">TEXT(D228,"yyyy-mm")</f>
        <v>2026-01</v>
      </c>
      <c r="P228" s="13"/>
    </row>
    <row r="229" customFormat="false" ht="15" hidden="false" customHeight="false" outlineLevel="0" collapsed="false">
      <c r="A229" s="5" t="s">
        <v>28</v>
      </c>
      <c r="B229" s="5" t="n">
        <v>9286</v>
      </c>
      <c r="C229" s="5" t="s">
        <v>259</v>
      </c>
      <c r="D229" s="14" t="n">
        <v>46026</v>
      </c>
      <c r="E229" s="15" t="n">
        <v>-1.98</v>
      </c>
      <c r="F229" s="5" t="s">
        <v>262</v>
      </c>
      <c r="G229" s="5" t="s">
        <v>178</v>
      </c>
      <c r="H229" s="5" t="s">
        <v>189</v>
      </c>
      <c r="I229" s="5" t="s">
        <v>194</v>
      </c>
      <c r="J229" s="5" t="s">
        <v>209</v>
      </c>
      <c r="K229" s="16" t="n">
        <v>-60000</v>
      </c>
      <c r="L229" s="5" t="s">
        <v>260</v>
      </c>
      <c r="M229" s="17" t="n">
        <v>30238.8872089507</v>
      </c>
      <c r="N229" s="3" t="str">
        <f aca="false">IF(OR(K229="",M229=""),"",IF(C229="STATS_ONLY","stats",IF(ROUND(K229/M229,2)=E229,"OK","CHECK")))</f>
        <v>OK</v>
      </c>
      <c r="O229" s="3" t="str">
        <f aca="false">TEXT(D229,"yyyy-mm")</f>
        <v>2026-01</v>
      </c>
      <c r="P229" s="13"/>
    </row>
    <row r="230" customFormat="false" ht="15" hidden="false" customHeight="false" outlineLevel="0" collapsed="false">
      <c r="A230" s="5" t="s">
        <v>28</v>
      </c>
      <c r="B230" s="5" t="n">
        <v>9287</v>
      </c>
      <c r="C230" s="5" t="s">
        <v>259</v>
      </c>
      <c r="D230" s="14" t="n">
        <v>46026</v>
      </c>
      <c r="E230" s="15" t="n">
        <v>-1.98</v>
      </c>
      <c r="F230" s="5" t="s">
        <v>272</v>
      </c>
      <c r="G230" s="5" t="s">
        <v>178</v>
      </c>
      <c r="H230" s="5" t="s">
        <v>189</v>
      </c>
      <c r="I230" s="5" t="s">
        <v>194</v>
      </c>
      <c r="J230" s="5" t="s">
        <v>197</v>
      </c>
      <c r="K230" s="16" t="n">
        <v>-60000</v>
      </c>
      <c r="L230" s="5" t="s">
        <v>260</v>
      </c>
      <c r="M230" s="17" t="n">
        <v>30238.8872089507</v>
      </c>
      <c r="N230" s="3" t="str">
        <f aca="false">IF(OR(K230="",M230=""),"",IF(C230="STATS_ONLY","stats",IF(ROUND(K230/M230,2)=E230,"OK","CHECK")))</f>
        <v>OK</v>
      </c>
      <c r="O230" s="3" t="str">
        <f aca="false">TEXT(D230,"yyyy-mm")</f>
        <v>2026-01</v>
      </c>
      <c r="P230" s="13"/>
    </row>
    <row r="231" customFormat="false" ht="15" hidden="false" customHeight="false" outlineLevel="0" collapsed="false">
      <c r="A231" s="5" t="s">
        <v>28</v>
      </c>
      <c r="B231" s="5" t="n">
        <v>9288</v>
      </c>
      <c r="C231" s="5" t="s">
        <v>259</v>
      </c>
      <c r="D231" s="14" t="n">
        <v>46026</v>
      </c>
      <c r="E231" s="15" t="n">
        <v>-2.65</v>
      </c>
      <c r="F231" s="5" t="s">
        <v>228</v>
      </c>
      <c r="G231" s="5" t="s">
        <v>178</v>
      </c>
      <c r="H231" s="5" t="s">
        <v>189</v>
      </c>
      <c r="I231" s="5" t="s">
        <v>194</v>
      </c>
      <c r="J231" s="5" t="s">
        <v>229</v>
      </c>
      <c r="K231" s="16" t="n">
        <v>-80000</v>
      </c>
      <c r="L231" s="5" t="s">
        <v>260</v>
      </c>
      <c r="M231" s="17" t="n">
        <v>30238.8872089507</v>
      </c>
      <c r="N231" s="3" t="str">
        <f aca="false">IF(OR(K231="",M231=""),"",IF(C231="STATS_ONLY","stats",IF(ROUND(K231/M231,2)=E231,"OK","CHECK")))</f>
        <v>OK</v>
      </c>
      <c r="O231" s="3" t="str">
        <f aca="false">TEXT(D231,"yyyy-mm")</f>
        <v>2026-01</v>
      </c>
      <c r="P231" s="13"/>
    </row>
    <row r="232" customFormat="false" ht="15" hidden="false" customHeight="false" outlineLevel="0" collapsed="false">
      <c r="A232" s="5" t="s">
        <v>28</v>
      </c>
      <c r="B232" s="5" t="n">
        <v>9289</v>
      </c>
      <c r="C232" s="5" t="s">
        <v>259</v>
      </c>
      <c r="D232" s="14" t="n">
        <v>46027</v>
      </c>
      <c r="E232" s="15" t="n">
        <v>-2.65</v>
      </c>
      <c r="F232" s="5" t="s">
        <v>272</v>
      </c>
      <c r="G232" s="5" t="s">
        <v>178</v>
      </c>
      <c r="H232" s="5" t="s">
        <v>189</v>
      </c>
      <c r="I232" s="5" t="s">
        <v>194</v>
      </c>
      <c r="J232" s="5" t="s">
        <v>197</v>
      </c>
      <c r="K232" s="16" t="n">
        <v>-80000</v>
      </c>
      <c r="L232" s="5" t="s">
        <v>260</v>
      </c>
      <c r="M232" s="17" t="n">
        <v>30238.8872089507</v>
      </c>
      <c r="N232" s="3" t="str">
        <f aca="false">IF(OR(K232="",M232=""),"",IF(C232="STATS_ONLY","stats",IF(ROUND(K232/M232,2)=E232,"OK","CHECK")))</f>
        <v>OK</v>
      </c>
      <c r="O232" s="3" t="str">
        <f aca="false">TEXT(D232,"yyyy-mm")</f>
        <v>2026-01</v>
      </c>
      <c r="P232" s="13"/>
    </row>
    <row r="233" customFormat="false" ht="15" hidden="false" customHeight="false" outlineLevel="0" collapsed="false">
      <c r="A233" s="5" t="s">
        <v>28</v>
      </c>
      <c r="B233" s="5" t="n">
        <v>9290</v>
      </c>
      <c r="C233" s="5" t="s">
        <v>259</v>
      </c>
      <c r="D233" s="14" t="n">
        <v>46027</v>
      </c>
      <c r="E233" s="15" t="n">
        <v>-1.32</v>
      </c>
      <c r="F233" s="5" t="s">
        <v>270</v>
      </c>
      <c r="G233" s="5" t="s">
        <v>178</v>
      </c>
      <c r="H233" s="5" t="s">
        <v>189</v>
      </c>
      <c r="I233" s="5" t="s">
        <v>194</v>
      </c>
      <c r="J233" s="5" t="s">
        <v>199</v>
      </c>
      <c r="K233" s="16" t="n">
        <v>-40000</v>
      </c>
      <c r="L233" s="5" t="s">
        <v>260</v>
      </c>
      <c r="M233" s="17" t="n">
        <v>30238.8872089507</v>
      </c>
      <c r="N233" s="3" t="str">
        <f aca="false">IF(OR(K233="",M233=""),"",IF(C233="STATS_ONLY","stats",IF(ROUND(K233/M233,2)=E233,"OK","CHECK")))</f>
        <v>OK</v>
      </c>
      <c r="O233" s="3" t="str">
        <f aca="false">TEXT(D233,"yyyy-mm")</f>
        <v>2026-01</v>
      </c>
      <c r="P233" s="13"/>
    </row>
    <row r="234" customFormat="false" ht="15" hidden="false" customHeight="false" outlineLevel="0" collapsed="false">
      <c r="A234" s="5" t="s">
        <v>28</v>
      </c>
      <c r="B234" s="5" t="n">
        <v>9291</v>
      </c>
      <c r="C234" s="5" t="s">
        <v>259</v>
      </c>
      <c r="D234" s="14" t="n">
        <v>46027</v>
      </c>
      <c r="E234" s="15" t="n">
        <v>-0.5</v>
      </c>
      <c r="F234" s="5" t="s">
        <v>271</v>
      </c>
      <c r="G234" s="5" t="s">
        <v>178</v>
      </c>
      <c r="H234" s="5" t="s">
        <v>189</v>
      </c>
      <c r="I234" s="5" t="s">
        <v>194</v>
      </c>
      <c r="J234" s="5" t="s">
        <v>181</v>
      </c>
      <c r="K234" s="16" t="n">
        <v>-15000</v>
      </c>
      <c r="L234" s="5" t="s">
        <v>260</v>
      </c>
      <c r="M234" s="17" t="n">
        <v>30238.8872089507</v>
      </c>
      <c r="N234" s="3" t="str">
        <f aca="false">IF(OR(K234="",M234=""),"",IF(C234="STATS_ONLY","stats",IF(ROUND(K234/M234,2)=E234,"OK","CHECK")))</f>
        <v>OK</v>
      </c>
      <c r="O234" s="3" t="str">
        <f aca="false">TEXT(D234,"yyyy-mm")</f>
        <v>2026-01</v>
      </c>
      <c r="P234" s="13"/>
    </row>
    <row r="235" customFormat="false" ht="15" hidden="false" customHeight="false" outlineLevel="0" collapsed="false">
      <c r="A235" s="5" t="s">
        <v>28</v>
      </c>
      <c r="B235" s="5" t="n">
        <v>9606</v>
      </c>
      <c r="C235" s="5" t="s">
        <v>152</v>
      </c>
      <c r="D235" s="14" t="n">
        <v>46027</v>
      </c>
      <c r="E235" s="15" t="n">
        <v>-45</v>
      </c>
      <c r="F235" s="5" t="s">
        <v>200</v>
      </c>
      <c r="G235" s="5" t="s">
        <v>163</v>
      </c>
      <c r="H235" s="5" t="s">
        <v>164</v>
      </c>
      <c r="I235" s="5" t="s">
        <v>201</v>
      </c>
      <c r="J235" s="5"/>
      <c r="K235" s="16"/>
      <c r="L235" s="5"/>
      <c r="M235" s="17"/>
      <c r="N235" s="3" t="str">
        <f aca="false">IF(OR(K235="",M235=""),"",IF(C235="STATS_ONLY","stats",IF(ROUND(K235/M235,2)=E235,"OK","CHECK")))</f>
        <v/>
      </c>
      <c r="O235" s="3" t="str">
        <f aca="false">TEXT(D235,"yyyy-mm")</f>
        <v>2026-01</v>
      </c>
      <c r="P235" s="13"/>
    </row>
    <row r="236" customFormat="false" ht="15" hidden="false" customHeight="false" outlineLevel="0" collapsed="false">
      <c r="A236" s="5" t="s">
        <v>28</v>
      </c>
      <c r="B236" s="5" t="n">
        <v>9292</v>
      </c>
      <c r="C236" s="5" t="s">
        <v>259</v>
      </c>
      <c r="D236" s="14" t="n">
        <v>46028</v>
      </c>
      <c r="E236" s="15" t="n">
        <v>-1.49</v>
      </c>
      <c r="F236" s="5" t="s">
        <v>273</v>
      </c>
      <c r="G236" s="5" t="s">
        <v>178</v>
      </c>
      <c r="H236" s="5" t="s">
        <v>189</v>
      </c>
      <c r="I236" s="5" t="s">
        <v>194</v>
      </c>
      <c r="J236" s="5" t="s">
        <v>195</v>
      </c>
      <c r="K236" s="16" t="n">
        <v>-45000</v>
      </c>
      <c r="L236" s="5" t="s">
        <v>260</v>
      </c>
      <c r="M236" s="17" t="n">
        <v>30238.8872089507</v>
      </c>
      <c r="N236" s="3" t="str">
        <f aca="false">IF(OR(K236="",M236=""),"",IF(C236="STATS_ONLY","stats",IF(ROUND(K236/M236,2)=E236,"OK","CHECK")))</f>
        <v>OK</v>
      </c>
      <c r="O236" s="3" t="str">
        <f aca="false">TEXT(D236,"yyyy-mm")</f>
        <v>2026-01</v>
      </c>
      <c r="P236" s="13"/>
    </row>
    <row r="237" customFormat="false" ht="15" hidden="false" customHeight="false" outlineLevel="0" collapsed="false">
      <c r="A237" s="5" t="s">
        <v>28</v>
      </c>
      <c r="B237" s="5" t="n">
        <v>9660</v>
      </c>
      <c r="C237" s="5" t="s">
        <v>259</v>
      </c>
      <c r="D237" s="14" t="n">
        <v>46028</v>
      </c>
      <c r="E237" s="15" t="n">
        <v>-24.93</v>
      </c>
      <c r="F237" s="5" t="s">
        <v>274</v>
      </c>
      <c r="G237" s="5" t="s">
        <v>275</v>
      </c>
      <c r="H237" s="5" t="s">
        <v>174</v>
      </c>
      <c r="I237" s="5" t="s">
        <v>276</v>
      </c>
      <c r="J237" s="5" t="s">
        <v>276</v>
      </c>
      <c r="K237" s="16" t="n">
        <v>-750000</v>
      </c>
      <c r="L237" s="5" t="s">
        <v>260</v>
      </c>
      <c r="M237" s="17" t="n">
        <v>30080.6160510167</v>
      </c>
      <c r="N237" s="3" t="str">
        <f aca="false">IF(OR(K237="",M237=""),"",IF(C237="STATS_ONLY","stats",IF(ROUND(K237/M237,2)=E237,"OK","CHECK")))</f>
        <v>OK</v>
      </c>
      <c r="O237" s="3" t="str">
        <f aca="false">TEXT(D237,"yyyy-mm")</f>
        <v>2026-01</v>
      </c>
      <c r="P237" s="13"/>
    </row>
    <row r="238" customFormat="false" ht="15" hidden="false" customHeight="false" outlineLevel="0" collapsed="false">
      <c r="A238" s="5" t="s">
        <v>28</v>
      </c>
      <c r="B238" s="5" t="n">
        <v>9293</v>
      </c>
      <c r="C238" s="5" t="s">
        <v>259</v>
      </c>
      <c r="D238" s="14" t="n">
        <v>46029</v>
      </c>
      <c r="E238" s="15" t="n">
        <v>-2.15</v>
      </c>
      <c r="F238" s="5" t="s">
        <v>261</v>
      </c>
      <c r="G238" s="5" t="s">
        <v>178</v>
      </c>
      <c r="H238" s="5" t="s">
        <v>189</v>
      </c>
      <c r="I238" s="5" t="s">
        <v>194</v>
      </c>
      <c r="J238" s="5" t="s">
        <v>195</v>
      </c>
      <c r="K238" s="16" t="n">
        <v>-65000</v>
      </c>
      <c r="L238" s="5" t="s">
        <v>260</v>
      </c>
      <c r="M238" s="17" t="n">
        <v>30238.8872089507</v>
      </c>
      <c r="N238" s="3" t="str">
        <f aca="false">IF(OR(K238="",M238=""),"",IF(C238="STATS_ONLY","stats",IF(ROUND(K238/M238,2)=E238,"OK","CHECK")))</f>
        <v>OK</v>
      </c>
      <c r="O238" s="3" t="str">
        <f aca="false">TEXT(D238,"yyyy-mm")</f>
        <v>2026-01</v>
      </c>
      <c r="P238" s="13"/>
    </row>
    <row r="239" customFormat="false" ht="15" hidden="false" customHeight="false" outlineLevel="0" collapsed="false">
      <c r="A239" s="5" t="s">
        <v>28</v>
      </c>
      <c r="B239" s="5" t="n">
        <v>9294</v>
      </c>
      <c r="C239" s="5" t="s">
        <v>259</v>
      </c>
      <c r="D239" s="14" t="n">
        <v>46029</v>
      </c>
      <c r="E239" s="15" t="n">
        <v>-1.82</v>
      </c>
      <c r="F239" s="5" t="s">
        <v>277</v>
      </c>
      <c r="G239" s="5" t="s">
        <v>178</v>
      </c>
      <c r="H239" s="5" t="s">
        <v>189</v>
      </c>
      <c r="I239" s="5" t="s">
        <v>194</v>
      </c>
      <c r="J239" s="5" t="s">
        <v>199</v>
      </c>
      <c r="K239" s="16" t="n">
        <v>-55000</v>
      </c>
      <c r="L239" s="5" t="s">
        <v>260</v>
      </c>
      <c r="M239" s="17" t="n">
        <v>30238.8872089507</v>
      </c>
      <c r="N239" s="3" t="str">
        <f aca="false">IF(OR(K239="",M239=""),"",IF(C239="STATS_ONLY","stats",IF(ROUND(K239/M239,2)=E239,"OK","CHECK")))</f>
        <v>OK</v>
      </c>
      <c r="O239" s="3" t="str">
        <f aca="false">TEXT(D239,"yyyy-mm")</f>
        <v>2026-01</v>
      </c>
      <c r="P239" s="13"/>
    </row>
    <row r="240" customFormat="false" ht="15" hidden="false" customHeight="false" outlineLevel="0" collapsed="false">
      <c r="A240" s="5" t="s">
        <v>28</v>
      </c>
      <c r="B240" s="5" t="n">
        <v>9295</v>
      </c>
      <c r="C240" s="5" t="s">
        <v>259</v>
      </c>
      <c r="D240" s="14" t="n">
        <v>46029</v>
      </c>
      <c r="E240" s="15" t="n">
        <v>-0.99</v>
      </c>
      <c r="F240" s="5" t="s">
        <v>263</v>
      </c>
      <c r="G240" s="5" t="s">
        <v>178</v>
      </c>
      <c r="H240" s="5" t="s">
        <v>189</v>
      </c>
      <c r="I240" s="5" t="s">
        <v>194</v>
      </c>
      <c r="J240" s="5" t="s">
        <v>181</v>
      </c>
      <c r="K240" s="16" t="n">
        <v>-30000</v>
      </c>
      <c r="L240" s="5" t="s">
        <v>260</v>
      </c>
      <c r="M240" s="17" t="n">
        <v>30238.8872089507</v>
      </c>
      <c r="N240" s="3" t="str">
        <f aca="false">IF(OR(K240="",M240=""),"",IF(C240="STATS_ONLY","stats",IF(ROUND(K240/M240,2)=E240,"OK","CHECK")))</f>
        <v>OK</v>
      </c>
      <c r="O240" s="3" t="str">
        <f aca="false">TEXT(D240,"yyyy-mm")</f>
        <v>2026-01</v>
      </c>
      <c r="P240" s="13"/>
    </row>
    <row r="241" customFormat="false" ht="15" hidden="false" customHeight="false" outlineLevel="0" collapsed="false">
      <c r="A241" s="5" t="s">
        <v>28</v>
      </c>
      <c r="B241" s="5" t="n">
        <v>9296</v>
      </c>
      <c r="C241" s="5" t="s">
        <v>259</v>
      </c>
      <c r="D241" s="14" t="n">
        <v>46029</v>
      </c>
      <c r="E241" s="15" t="n">
        <v>-5.79</v>
      </c>
      <c r="F241" s="5" t="s">
        <v>236</v>
      </c>
      <c r="G241" s="5" t="s">
        <v>178</v>
      </c>
      <c r="H241" s="5" t="s">
        <v>189</v>
      </c>
      <c r="I241" s="5" t="s">
        <v>194</v>
      </c>
      <c r="J241" s="5" t="s">
        <v>237</v>
      </c>
      <c r="K241" s="16" t="n">
        <v>-175000</v>
      </c>
      <c r="L241" s="5" t="s">
        <v>260</v>
      </c>
      <c r="M241" s="17" t="n">
        <v>30238.8872089507</v>
      </c>
      <c r="N241" s="3" t="str">
        <f aca="false">IF(OR(K241="",M241=""),"",IF(C241="STATS_ONLY","stats",IF(ROUND(K241/M241,2)=E241,"OK","CHECK")))</f>
        <v>OK</v>
      </c>
      <c r="O241" s="3" t="str">
        <f aca="false">TEXT(D241,"yyyy-mm")</f>
        <v>2026-01</v>
      </c>
      <c r="P241" s="13"/>
    </row>
    <row r="242" customFormat="false" ht="15" hidden="false" customHeight="false" outlineLevel="0" collapsed="false">
      <c r="A242" s="5" t="s">
        <v>28</v>
      </c>
      <c r="B242" s="5" t="n">
        <v>9607</v>
      </c>
      <c r="C242" s="5" t="s">
        <v>213</v>
      </c>
      <c r="D242" s="14" t="n">
        <v>46029</v>
      </c>
      <c r="E242" s="15" t="n">
        <v>-21.78</v>
      </c>
      <c r="F242" s="5" t="s">
        <v>214</v>
      </c>
      <c r="G242" s="5" t="s">
        <v>163</v>
      </c>
      <c r="H242" s="5" t="s">
        <v>164</v>
      </c>
      <c r="I242" s="5" t="s">
        <v>215</v>
      </c>
      <c r="J242" s="5"/>
      <c r="K242" s="16"/>
      <c r="L242" s="5"/>
      <c r="M242" s="17"/>
      <c r="N242" s="3" t="str">
        <f aca="false">IF(OR(K242="",M242=""),"",IF(C242="STATS_ONLY","stats",IF(ROUND(K242/M242,2)=E242,"OK","CHECK")))</f>
        <v/>
      </c>
      <c r="O242" s="3" t="str">
        <f aca="false">TEXT(D242,"yyyy-mm")</f>
        <v>2026-01</v>
      </c>
      <c r="P242" s="13"/>
    </row>
    <row r="243" customFormat="false" ht="15" hidden="false" customHeight="false" outlineLevel="0" collapsed="false">
      <c r="A243" s="5" t="s">
        <v>28</v>
      </c>
      <c r="B243" s="5" t="n">
        <v>9297</v>
      </c>
      <c r="C243" s="5" t="s">
        <v>259</v>
      </c>
      <c r="D243" s="14" t="n">
        <v>46030</v>
      </c>
      <c r="E243" s="15" t="n">
        <v>-4.3</v>
      </c>
      <c r="F243" s="5" t="s">
        <v>217</v>
      </c>
      <c r="G243" s="5" t="s">
        <v>178</v>
      </c>
      <c r="H243" s="5" t="s">
        <v>189</v>
      </c>
      <c r="I243" s="5" t="s">
        <v>194</v>
      </c>
      <c r="J243" s="5" t="s">
        <v>197</v>
      </c>
      <c r="K243" s="16" t="n">
        <v>-130000</v>
      </c>
      <c r="L243" s="5" t="s">
        <v>260</v>
      </c>
      <c r="M243" s="17" t="n">
        <v>30238.8872089507</v>
      </c>
      <c r="N243" s="3" t="str">
        <f aca="false">IF(OR(K243="",M243=""),"",IF(C243="STATS_ONLY","stats",IF(ROUND(K243/M243,2)=E243,"OK","CHECK")))</f>
        <v>OK</v>
      </c>
      <c r="O243" s="3" t="str">
        <f aca="false">TEXT(D243,"yyyy-mm")</f>
        <v>2026-01</v>
      </c>
      <c r="P243" s="13"/>
    </row>
    <row r="244" customFormat="false" ht="15" hidden="false" customHeight="false" outlineLevel="0" collapsed="false">
      <c r="A244" s="5" t="s">
        <v>28</v>
      </c>
      <c r="B244" s="5" t="n">
        <v>9298</v>
      </c>
      <c r="C244" s="5" t="s">
        <v>259</v>
      </c>
      <c r="D244" s="14" t="n">
        <v>46030</v>
      </c>
      <c r="E244" s="15" t="n">
        <v>-1.16</v>
      </c>
      <c r="F244" s="5" t="s">
        <v>233</v>
      </c>
      <c r="G244" s="5" t="s">
        <v>178</v>
      </c>
      <c r="H244" s="5" t="s">
        <v>189</v>
      </c>
      <c r="I244" s="5" t="s">
        <v>194</v>
      </c>
      <c r="J244" s="5" t="s">
        <v>181</v>
      </c>
      <c r="K244" s="16" t="n">
        <v>-35000</v>
      </c>
      <c r="L244" s="5" t="s">
        <v>260</v>
      </c>
      <c r="M244" s="17" t="n">
        <v>30238.8872089507</v>
      </c>
      <c r="N244" s="3" t="str">
        <f aca="false">IF(OR(K244="",M244=""),"",IF(C244="STATS_ONLY","stats",IF(ROUND(K244/M244,2)=E244,"OK","CHECK")))</f>
        <v>OK</v>
      </c>
      <c r="O244" s="3" t="str">
        <f aca="false">TEXT(D244,"yyyy-mm")</f>
        <v>2026-01</v>
      </c>
      <c r="P244" s="13"/>
    </row>
    <row r="245" customFormat="false" ht="15" hidden="false" customHeight="false" outlineLevel="0" collapsed="false">
      <c r="A245" s="5" t="s">
        <v>28</v>
      </c>
      <c r="B245" s="5" t="n">
        <v>9608</v>
      </c>
      <c r="C245" s="5" t="s">
        <v>152</v>
      </c>
      <c r="D245" s="14" t="n">
        <v>46030</v>
      </c>
      <c r="E245" s="15" t="n">
        <v>-2.99</v>
      </c>
      <c r="F245" s="5" t="s">
        <v>219</v>
      </c>
      <c r="G245" s="5" t="s">
        <v>163</v>
      </c>
      <c r="H245" s="5" t="s">
        <v>164</v>
      </c>
      <c r="I245" s="5" t="s">
        <v>220</v>
      </c>
      <c r="J245" s="5"/>
      <c r="K245" s="16"/>
      <c r="L245" s="5"/>
      <c r="M245" s="17"/>
      <c r="N245" s="3" t="str">
        <f aca="false">IF(OR(K245="",M245=""),"",IF(C245="STATS_ONLY","stats",IF(ROUND(K245/M245,2)=E245,"OK","CHECK")))</f>
        <v/>
      </c>
      <c r="O245" s="3" t="str">
        <f aca="false">TEXT(D245,"yyyy-mm")</f>
        <v>2026-01</v>
      </c>
      <c r="P245" s="13"/>
    </row>
    <row r="246" customFormat="false" ht="15" hidden="false" customHeight="false" outlineLevel="0" collapsed="false">
      <c r="A246" s="5" t="s">
        <v>28</v>
      </c>
      <c r="B246" s="5" t="n">
        <v>9299</v>
      </c>
      <c r="C246" s="5" t="s">
        <v>259</v>
      </c>
      <c r="D246" s="14" t="n">
        <v>46031</v>
      </c>
      <c r="E246" s="15" t="n">
        <v>-2.31</v>
      </c>
      <c r="F246" s="5" t="s">
        <v>278</v>
      </c>
      <c r="G246" s="5" t="s">
        <v>178</v>
      </c>
      <c r="H246" s="5" t="s">
        <v>189</v>
      </c>
      <c r="I246" s="5" t="s">
        <v>194</v>
      </c>
      <c r="J246" s="5" t="s">
        <v>195</v>
      </c>
      <c r="K246" s="16" t="n">
        <v>-70000</v>
      </c>
      <c r="L246" s="5" t="s">
        <v>260</v>
      </c>
      <c r="M246" s="17" t="n">
        <v>30238.8872089507</v>
      </c>
      <c r="N246" s="3" t="str">
        <f aca="false">IF(OR(K246="",M246=""),"",IF(C246="STATS_ONLY","stats",IF(ROUND(K246/M246,2)=E246,"OK","CHECK")))</f>
        <v>OK</v>
      </c>
      <c r="O246" s="3" t="str">
        <f aca="false">TEXT(D246,"yyyy-mm")</f>
        <v>2026-01</v>
      </c>
      <c r="P246" s="13"/>
    </row>
    <row r="247" customFormat="false" ht="15" hidden="false" customHeight="false" outlineLevel="0" collapsed="false">
      <c r="A247" s="5" t="s">
        <v>28</v>
      </c>
      <c r="B247" s="5" t="n">
        <v>9300</v>
      </c>
      <c r="C247" s="5" t="s">
        <v>259</v>
      </c>
      <c r="D247" s="14" t="n">
        <v>46031</v>
      </c>
      <c r="E247" s="15" t="n">
        <v>-0.83</v>
      </c>
      <c r="F247" s="5" t="s">
        <v>218</v>
      </c>
      <c r="G247" s="5" t="s">
        <v>178</v>
      </c>
      <c r="H247" s="5" t="s">
        <v>189</v>
      </c>
      <c r="I247" s="5" t="s">
        <v>194</v>
      </c>
      <c r="J247" s="5" t="s">
        <v>199</v>
      </c>
      <c r="K247" s="16" t="n">
        <v>-25000</v>
      </c>
      <c r="L247" s="5" t="s">
        <v>260</v>
      </c>
      <c r="M247" s="17" t="n">
        <v>30238.8872089507</v>
      </c>
      <c r="N247" s="3" t="str">
        <f aca="false">IF(OR(K247="",M247=""),"",IF(C247="STATS_ONLY","stats",IF(ROUND(K247/M247,2)=E247,"OK","CHECK")))</f>
        <v>OK</v>
      </c>
      <c r="O247" s="3" t="str">
        <f aca="false">TEXT(D247,"yyyy-mm")</f>
        <v>2026-01</v>
      </c>
      <c r="P247" s="13"/>
    </row>
    <row r="248" customFormat="false" ht="15" hidden="false" customHeight="false" outlineLevel="0" collapsed="false">
      <c r="A248" s="5" t="s">
        <v>28</v>
      </c>
      <c r="B248" s="5" t="n">
        <v>9301</v>
      </c>
      <c r="C248" s="5" t="s">
        <v>259</v>
      </c>
      <c r="D248" s="14" t="n">
        <v>46031</v>
      </c>
      <c r="E248" s="15" t="n">
        <v>-0.66</v>
      </c>
      <c r="F248" s="5" t="s">
        <v>279</v>
      </c>
      <c r="G248" s="5" t="s">
        <v>178</v>
      </c>
      <c r="H248" s="5" t="s">
        <v>189</v>
      </c>
      <c r="I248" s="5" t="s">
        <v>194</v>
      </c>
      <c r="J248" s="5" t="s">
        <v>181</v>
      </c>
      <c r="K248" s="16" t="n">
        <v>-20000</v>
      </c>
      <c r="L248" s="5" t="s">
        <v>260</v>
      </c>
      <c r="M248" s="17" t="n">
        <v>30238.8872089507</v>
      </c>
      <c r="N248" s="3" t="str">
        <f aca="false">IF(OR(K248="",M248=""),"",IF(C248="STATS_ONLY","stats",IF(ROUND(K248/M248,2)=E248,"OK","CHECK")))</f>
        <v>OK</v>
      </c>
      <c r="O248" s="3" t="str">
        <f aca="false">TEXT(D248,"yyyy-mm")</f>
        <v>2026-01</v>
      </c>
      <c r="P248" s="13"/>
    </row>
    <row r="249" customFormat="false" ht="15" hidden="false" customHeight="false" outlineLevel="0" collapsed="false">
      <c r="A249" s="5" t="s">
        <v>28</v>
      </c>
      <c r="B249" s="5" t="n">
        <v>9302</v>
      </c>
      <c r="C249" s="5" t="s">
        <v>259</v>
      </c>
      <c r="D249" s="14" t="n">
        <v>46032</v>
      </c>
      <c r="E249" s="15" t="n">
        <v>-1.82</v>
      </c>
      <c r="F249" s="5" t="s">
        <v>208</v>
      </c>
      <c r="G249" s="5" t="s">
        <v>178</v>
      </c>
      <c r="H249" s="5" t="s">
        <v>189</v>
      </c>
      <c r="I249" s="5" t="s">
        <v>194</v>
      </c>
      <c r="J249" s="5" t="s">
        <v>209</v>
      </c>
      <c r="K249" s="16" t="n">
        <v>-55000</v>
      </c>
      <c r="L249" s="5" t="s">
        <v>260</v>
      </c>
      <c r="M249" s="17" t="n">
        <v>30238.8872089507</v>
      </c>
      <c r="N249" s="3" t="str">
        <f aca="false">IF(OR(K249="",M249=""),"",IF(C249="STATS_ONLY","stats",IF(ROUND(K249/M249,2)=E249,"OK","CHECK")))</f>
        <v>OK</v>
      </c>
      <c r="O249" s="3" t="str">
        <f aca="false">TEXT(D249,"yyyy-mm")</f>
        <v>2026-01</v>
      </c>
      <c r="P249" s="13"/>
    </row>
    <row r="250" customFormat="false" ht="15" hidden="false" customHeight="false" outlineLevel="0" collapsed="false">
      <c r="A250" s="5" t="s">
        <v>28</v>
      </c>
      <c r="B250" s="5" t="n">
        <v>9303</v>
      </c>
      <c r="C250" s="5" t="s">
        <v>259</v>
      </c>
      <c r="D250" s="14" t="n">
        <v>46033</v>
      </c>
      <c r="E250" s="15" t="n">
        <v>-1.32</v>
      </c>
      <c r="F250" s="5" t="s">
        <v>278</v>
      </c>
      <c r="G250" s="5" t="s">
        <v>178</v>
      </c>
      <c r="H250" s="5" t="s">
        <v>189</v>
      </c>
      <c r="I250" s="5" t="s">
        <v>194</v>
      </c>
      <c r="J250" s="5" t="s">
        <v>195</v>
      </c>
      <c r="K250" s="16" t="n">
        <v>-40000</v>
      </c>
      <c r="L250" s="5" t="s">
        <v>260</v>
      </c>
      <c r="M250" s="17" t="n">
        <v>30238.8872089507</v>
      </c>
      <c r="N250" s="3" t="str">
        <f aca="false">IF(OR(K250="",M250=""),"",IF(C250="STATS_ONLY","stats",IF(ROUND(K250/M250,2)=E250,"OK","CHECK")))</f>
        <v>OK</v>
      </c>
      <c r="O250" s="3" t="str">
        <f aca="false">TEXT(D250,"yyyy-mm")</f>
        <v>2026-01</v>
      </c>
      <c r="P250" s="13"/>
    </row>
    <row r="251" customFormat="false" ht="15" hidden="false" customHeight="false" outlineLevel="0" collapsed="false">
      <c r="A251" s="5" t="s">
        <v>28</v>
      </c>
      <c r="B251" s="5" t="n">
        <v>9304</v>
      </c>
      <c r="C251" s="5" t="s">
        <v>259</v>
      </c>
      <c r="D251" s="14" t="n">
        <v>46033</v>
      </c>
      <c r="E251" s="15" t="n">
        <v>-2.81</v>
      </c>
      <c r="F251" s="5" t="s">
        <v>280</v>
      </c>
      <c r="G251" s="5" t="s">
        <v>178</v>
      </c>
      <c r="H251" s="5" t="s">
        <v>189</v>
      </c>
      <c r="I251" s="5" t="s">
        <v>194</v>
      </c>
      <c r="J251" s="5" t="s">
        <v>209</v>
      </c>
      <c r="K251" s="16" t="n">
        <v>-85000</v>
      </c>
      <c r="L251" s="5" t="s">
        <v>260</v>
      </c>
      <c r="M251" s="17" t="n">
        <v>30238.8872089507</v>
      </c>
      <c r="N251" s="3" t="str">
        <f aca="false">IF(OR(K251="",M251=""),"",IF(C251="STATS_ONLY","stats",IF(ROUND(K251/M251,2)=E251,"OK","CHECK")))</f>
        <v>OK</v>
      </c>
      <c r="O251" s="3" t="str">
        <f aca="false">TEXT(D251,"yyyy-mm")</f>
        <v>2026-01</v>
      </c>
      <c r="P251" s="13"/>
    </row>
    <row r="252" customFormat="false" ht="15" hidden="false" customHeight="false" outlineLevel="0" collapsed="false">
      <c r="A252" s="5" t="s">
        <v>28</v>
      </c>
      <c r="B252" s="5" t="n">
        <v>9305</v>
      </c>
      <c r="C252" s="5" t="s">
        <v>259</v>
      </c>
      <c r="D252" s="14" t="n">
        <v>46033</v>
      </c>
      <c r="E252" s="15" t="n">
        <v>-2.81</v>
      </c>
      <c r="F252" s="5" t="s">
        <v>281</v>
      </c>
      <c r="G252" s="5" t="s">
        <v>178</v>
      </c>
      <c r="H252" s="5" t="s">
        <v>189</v>
      </c>
      <c r="I252" s="5" t="s">
        <v>194</v>
      </c>
      <c r="J252" s="5" t="s">
        <v>197</v>
      </c>
      <c r="K252" s="16" t="n">
        <v>-85000</v>
      </c>
      <c r="L252" s="5" t="s">
        <v>260</v>
      </c>
      <c r="M252" s="17" t="n">
        <v>30238.8872089507</v>
      </c>
      <c r="N252" s="3" t="str">
        <f aca="false">IF(OR(K252="",M252=""),"",IF(C252="STATS_ONLY","stats",IF(ROUND(K252/M252,2)=E252,"OK","CHECK")))</f>
        <v>OK</v>
      </c>
      <c r="O252" s="3" t="str">
        <f aca="false">TEXT(D252,"yyyy-mm")</f>
        <v>2026-01</v>
      </c>
      <c r="P252" s="13"/>
    </row>
    <row r="253" customFormat="false" ht="15" hidden="false" customHeight="false" outlineLevel="0" collapsed="false">
      <c r="A253" s="5" t="s">
        <v>28</v>
      </c>
      <c r="B253" s="5" t="n">
        <v>9306</v>
      </c>
      <c r="C253" s="5" t="s">
        <v>259</v>
      </c>
      <c r="D253" s="14" t="n">
        <v>46033</v>
      </c>
      <c r="E253" s="15" t="n">
        <v>-0.5</v>
      </c>
      <c r="F253" s="5" t="s">
        <v>233</v>
      </c>
      <c r="G253" s="5" t="s">
        <v>178</v>
      </c>
      <c r="H253" s="5" t="s">
        <v>189</v>
      </c>
      <c r="I253" s="5" t="s">
        <v>194</v>
      </c>
      <c r="J253" s="5" t="s">
        <v>181</v>
      </c>
      <c r="K253" s="16" t="n">
        <v>-15000</v>
      </c>
      <c r="L253" s="5" t="s">
        <v>260</v>
      </c>
      <c r="M253" s="17" t="n">
        <v>30238.8872089507</v>
      </c>
      <c r="N253" s="3" t="str">
        <f aca="false">IF(OR(K253="",M253=""),"",IF(C253="STATS_ONLY","stats",IF(ROUND(K253/M253,2)=E253,"OK","CHECK")))</f>
        <v>OK</v>
      </c>
      <c r="O253" s="3" t="str">
        <f aca="false">TEXT(D253,"yyyy-mm")</f>
        <v>2026-01</v>
      </c>
      <c r="P253" s="13"/>
    </row>
    <row r="254" customFormat="false" ht="15" hidden="false" customHeight="false" outlineLevel="0" collapsed="false">
      <c r="A254" s="5" t="s">
        <v>28</v>
      </c>
      <c r="B254" s="5" t="n">
        <v>9307</v>
      </c>
      <c r="C254" s="5" t="s">
        <v>259</v>
      </c>
      <c r="D254" s="14" t="n">
        <v>46034</v>
      </c>
      <c r="E254" s="15" t="n">
        <v>-1.82</v>
      </c>
      <c r="F254" s="5" t="s">
        <v>270</v>
      </c>
      <c r="G254" s="5" t="s">
        <v>178</v>
      </c>
      <c r="H254" s="5" t="s">
        <v>189</v>
      </c>
      <c r="I254" s="5" t="s">
        <v>194</v>
      </c>
      <c r="J254" s="5" t="s">
        <v>199</v>
      </c>
      <c r="K254" s="16" t="n">
        <v>-55000</v>
      </c>
      <c r="L254" s="5" t="s">
        <v>260</v>
      </c>
      <c r="M254" s="17" t="n">
        <v>30238.8872089507</v>
      </c>
      <c r="N254" s="3" t="str">
        <f aca="false">IF(OR(K254="",M254=""),"",IF(C254="STATS_ONLY","stats",IF(ROUND(K254/M254,2)=E254,"OK","CHECK")))</f>
        <v>OK</v>
      </c>
      <c r="O254" s="3" t="str">
        <f aca="false">TEXT(D254,"yyyy-mm")</f>
        <v>2026-01</v>
      </c>
      <c r="P254" s="13"/>
    </row>
    <row r="255" customFormat="false" ht="15" hidden="false" customHeight="false" outlineLevel="0" collapsed="false">
      <c r="A255" s="5" t="s">
        <v>28</v>
      </c>
      <c r="B255" s="5" t="n">
        <v>9308</v>
      </c>
      <c r="C255" s="5" t="s">
        <v>259</v>
      </c>
      <c r="D255" s="14" t="n">
        <v>46036</v>
      </c>
      <c r="E255" s="15" t="n">
        <v>-1.98</v>
      </c>
      <c r="F255" s="5" t="s">
        <v>208</v>
      </c>
      <c r="G255" s="5" t="s">
        <v>178</v>
      </c>
      <c r="H255" s="5" t="s">
        <v>189</v>
      </c>
      <c r="I255" s="5" t="s">
        <v>194</v>
      </c>
      <c r="J255" s="5" t="s">
        <v>209</v>
      </c>
      <c r="K255" s="16" t="n">
        <v>-60000</v>
      </c>
      <c r="L255" s="5" t="s">
        <v>260</v>
      </c>
      <c r="M255" s="17" t="n">
        <v>30238.8872089507</v>
      </c>
      <c r="N255" s="3" t="str">
        <f aca="false">IF(OR(K255="",M255=""),"",IF(C255="STATS_ONLY","stats",IF(ROUND(K255/M255,2)=E255,"OK","CHECK")))</f>
        <v>OK</v>
      </c>
      <c r="O255" s="3" t="str">
        <f aca="false">TEXT(D255,"yyyy-mm")</f>
        <v>2026-01</v>
      </c>
      <c r="P255" s="13"/>
    </row>
    <row r="256" customFormat="false" ht="15" hidden="false" customHeight="false" outlineLevel="0" collapsed="false">
      <c r="A256" s="5" t="s">
        <v>28</v>
      </c>
      <c r="B256" s="5" t="n">
        <v>9309</v>
      </c>
      <c r="C256" s="5" t="s">
        <v>259</v>
      </c>
      <c r="D256" s="14" t="n">
        <v>46036</v>
      </c>
      <c r="E256" s="15" t="n">
        <v>-4.63</v>
      </c>
      <c r="F256" s="5" t="s">
        <v>281</v>
      </c>
      <c r="G256" s="5" t="s">
        <v>178</v>
      </c>
      <c r="H256" s="5" t="s">
        <v>189</v>
      </c>
      <c r="I256" s="5" t="s">
        <v>194</v>
      </c>
      <c r="J256" s="5" t="s">
        <v>197</v>
      </c>
      <c r="K256" s="16" t="n">
        <v>-140000</v>
      </c>
      <c r="L256" s="5" t="s">
        <v>260</v>
      </c>
      <c r="M256" s="17" t="n">
        <v>30238.8872089507</v>
      </c>
      <c r="N256" s="3" t="str">
        <f aca="false">IF(OR(K256="",M256=""),"",IF(C256="STATS_ONLY","stats",IF(ROUND(K256/M256,2)=E256,"OK","CHECK")))</f>
        <v>OK</v>
      </c>
      <c r="O256" s="3" t="str">
        <f aca="false">TEXT(D256,"yyyy-mm")</f>
        <v>2026-01</v>
      </c>
      <c r="P256" s="13"/>
    </row>
    <row r="257" customFormat="false" ht="15" hidden="false" customHeight="false" outlineLevel="0" collapsed="false">
      <c r="A257" s="5" t="s">
        <v>28</v>
      </c>
      <c r="B257" s="5" t="n">
        <v>9310</v>
      </c>
      <c r="C257" s="5" t="s">
        <v>259</v>
      </c>
      <c r="D257" s="14" t="n">
        <v>46036</v>
      </c>
      <c r="E257" s="15" t="n">
        <v>-1.82</v>
      </c>
      <c r="F257" s="5" t="s">
        <v>270</v>
      </c>
      <c r="G257" s="5" t="s">
        <v>178</v>
      </c>
      <c r="H257" s="5" t="s">
        <v>189</v>
      </c>
      <c r="I257" s="5" t="s">
        <v>194</v>
      </c>
      <c r="J257" s="5" t="s">
        <v>199</v>
      </c>
      <c r="K257" s="16" t="n">
        <v>-55000</v>
      </c>
      <c r="L257" s="5" t="s">
        <v>260</v>
      </c>
      <c r="M257" s="17" t="n">
        <v>30238.8872089507</v>
      </c>
      <c r="N257" s="3" t="str">
        <f aca="false">IF(OR(K257="",M257=""),"",IF(C257="STATS_ONLY","stats",IF(ROUND(K257/M257,2)=E257,"OK","CHECK")))</f>
        <v>OK</v>
      </c>
      <c r="O257" s="3" t="str">
        <f aca="false">TEXT(D257,"yyyy-mm")</f>
        <v>2026-01</v>
      </c>
      <c r="P257" s="13"/>
    </row>
    <row r="258" customFormat="false" ht="15" hidden="false" customHeight="false" outlineLevel="0" collapsed="false">
      <c r="A258" s="5" t="s">
        <v>28</v>
      </c>
      <c r="B258" s="5" t="n">
        <v>9311</v>
      </c>
      <c r="C258" s="5" t="s">
        <v>259</v>
      </c>
      <c r="D258" s="14" t="n">
        <v>46037</v>
      </c>
      <c r="E258" s="15" t="n">
        <v>-2.15</v>
      </c>
      <c r="F258" s="5" t="s">
        <v>278</v>
      </c>
      <c r="G258" s="5" t="s">
        <v>178</v>
      </c>
      <c r="H258" s="5" t="s">
        <v>189</v>
      </c>
      <c r="I258" s="5" t="s">
        <v>194</v>
      </c>
      <c r="J258" s="5" t="s">
        <v>195</v>
      </c>
      <c r="K258" s="16" t="n">
        <v>-65000</v>
      </c>
      <c r="L258" s="5" t="s">
        <v>260</v>
      </c>
      <c r="M258" s="17" t="n">
        <v>30238.8872089507</v>
      </c>
      <c r="N258" s="3" t="str">
        <f aca="false">IF(OR(K258="",M258=""),"",IF(C258="STATS_ONLY","stats",IF(ROUND(K258/M258,2)=E258,"OK","CHECK")))</f>
        <v>OK</v>
      </c>
      <c r="O258" s="3" t="str">
        <f aca="false">TEXT(D258,"yyyy-mm")</f>
        <v>2026-01</v>
      </c>
      <c r="P258" s="13"/>
    </row>
    <row r="259" customFormat="false" ht="15" hidden="false" customHeight="false" outlineLevel="0" collapsed="false">
      <c r="A259" s="5" t="s">
        <v>28</v>
      </c>
      <c r="B259" s="5" t="n">
        <v>9312</v>
      </c>
      <c r="C259" s="5" t="s">
        <v>259</v>
      </c>
      <c r="D259" s="14" t="n">
        <v>46037</v>
      </c>
      <c r="E259" s="15" t="n">
        <v>-2.98</v>
      </c>
      <c r="F259" s="5" t="s">
        <v>272</v>
      </c>
      <c r="G259" s="5" t="s">
        <v>178</v>
      </c>
      <c r="H259" s="5" t="s">
        <v>189</v>
      </c>
      <c r="I259" s="5" t="s">
        <v>194</v>
      </c>
      <c r="J259" s="5" t="s">
        <v>197</v>
      </c>
      <c r="K259" s="16" t="n">
        <v>-90000</v>
      </c>
      <c r="L259" s="5" t="s">
        <v>260</v>
      </c>
      <c r="M259" s="17" t="n">
        <v>30238.8872089507</v>
      </c>
      <c r="N259" s="3" t="str">
        <f aca="false">IF(OR(K259="",M259=""),"",IF(C259="STATS_ONLY","stats",IF(ROUND(K259/M259,2)=E259,"OK","CHECK")))</f>
        <v>OK</v>
      </c>
      <c r="O259" s="3" t="str">
        <f aca="false">TEXT(D259,"yyyy-mm")</f>
        <v>2026-01</v>
      </c>
      <c r="P259" s="13"/>
    </row>
    <row r="260" customFormat="false" ht="15" hidden="false" customHeight="false" outlineLevel="0" collapsed="false">
      <c r="A260" s="5" t="s">
        <v>28</v>
      </c>
      <c r="B260" s="5" t="n">
        <v>9313</v>
      </c>
      <c r="C260" s="5" t="s">
        <v>259</v>
      </c>
      <c r="D260" s="14" t="n">
        <v>46037</v>
      </c>
      <c r="E260" s="15" t="n">
        <v>-0.33</v>
      </c>
      <c r="F260" s="5" t="s">
        <v>271</v>
      </c>
      <c r="G260" s="5" t="s">
        <v>178</v>
      </c>
      <c r="H260" s="5" t="s">
        <v>189</v>
      </c>
      <c r="I260" s="5" t="s">
        <v>194</v>
      </c>
      <c r="J260" s="5" t="s">
        <v>181</v>
      </c>
      <c r="K260" s="16" t="n">
        <v>-10000</v>
      </c>
      <c r="L260" s="5" t="s">
        <v>260</v>
      </c>
      <c r="M260" s="17" t="n">
        <v>30238.8872089507</v>
      </c>
      <c r="N260" s="3" t="str">
        <f aca="false">IF(OR(K260="",M260=""),"",IF(C260="STATS_ONLY","stats",IF(ROUND(K260/M260,2)=E260,"OK","CHECK")))</f>
        <v>OK</v>
      </c>
      <c r="O260" s="3" t="str">
        <f aca="false">TEXT(D260,"yyyy-mm")</f>
        <v>2026-01</v>
      </c>
      <c r="P260" s="13"/>
    </row>
    <row r="261" customFormat="false" ht="15" hidden="false" customHeight="false" outlineLevel="0" collapsed="false">
      <c r="A261" s="5" t="s">
        <v>28</v>
      </c>
      <c r="B261" s="5" t="n">
        <v>9314</v>
      </c>
      <c r="C261" s="5" t="s">
        <v>259</v>
      </c>
      <c r="D261" s="14" t="n">
        <v>46038</v>
      </c>
      <c r="E261" s="15" t="n">
        <v>-3.14</v>
      </c>
      <c r="F261" s="5" t="s">
        <v>282</v>
      </c>
      <c r="G261" s="5" t="s">
        <v>178</v>
      </c>
      <c r="H261" s="5" t="s">
        <v>189</v>
      </c>
      <c r="I261" s="5" t="s">
        <v>194</v>
      </c>
      <c r="J261" s="5" t="s">
        <v>197</v>
      </c>
      <c r="K261" s="16" t="n">
        <v>-95000</v>
      </c>
      <c r="L261" s="5" t="s">
        <v>260</v>
      </c>
      <c r="M261" s="17" t="n">
        <v>30238.8872089507</v>
      </c>
      <c r="N261" s="3" t="str">
        <f aca="false">IF(OR(K261="",M261=""),"",IF(C261="STATS_ONLY","stats",IF(ROUND(K261/M261,2)=E261,"OK","CHECK")))</f>
        <v>OK</v>
      </c>
      <c r="O261" s="3" t="str">
        <f aca="false">TEXT(D261,"yyyy-mm")</f>
        <v>2026-01</v>
      </c>
      <c r="P261" s="13"/>
    </row>
    <row r="262" customFormat="false" ht="15" hidden="false" customHeight="false" outlineLevel="0" collapsed="false">
      <c r="A262" s="5" t="s">
        <v>28</v>
      </c>
      <c r="B262" s="5" t="n">
        <v>9315</v>
      </c>
      <c r="C262" s="5" t="s">
        <v>259</v>
      </c>
      <c r="D262" s="14" t="n">
        <v>46039</v>
      </c>
      <c r="E262" s="15" t="n">
        <v>-2.65</v>
      </c>
      <c r="F262" s="5" t="s">
        <v>281</v>
      </c>
      <c r="G262" s="5" t="s">
        <v>178</v>
      </c>
      <c r="H262" s="5" t="s">
        <v>189</v>
      </c>
      <c r="I262" s="5" t="s">
        <v>194</v>
      </c>
      <c r="J262" s="5" t="s">
        <v>197</v>
      </c>
      <c r="K262" s="16" t="n">
        <v>-80000</v>
      </c>
      <c r="L262" s="5" t="s">
        <v>260</v>
      </c>
      <c r="M262" s="17" t="n">
        <v>30238.8872089507</v>
      </c>
      <c r="N262" s="3" t="str">
        <f aca="false">IF(OR(K262="",M262=""),"",IF(C262="STATS_ONLY","stats",IF(ROUND(K262/M262,2)=E262,"OK","CHECK")))</f>
        <v>OK</v>
      </c>
      <c r="O262" s="3" t="str">
        <f aca="false">TEXT(D262,"yyyy-mm")</f>
        <v>2026-01</v>
      </c>
      <c r="P262" s="13"/>
    </row>
    <row r="263" customFormat="false" ht="15" hidden="false" customHeight="false" outlineLevel="0" collapsed="false">
      <c r="A263" s="5" t="s">
        <v>28</v>
      </c>
      <c r="B263" s="5" t="n">
        <v>9316</v>
      </c>
      <c r="C263" s="5" t="s">
        <v>259</v>
      </c>
      <c r="D263" s="14" t="n">
        <v>46039</v>
      </c>
      <c r="E263" s="15" t="n">
        <v>-1.32</v>
      </c>
      <c r="F263" s="5" t="s">
        <v>242</v>
      </c>
      <c r="G263" s="5" t="s">
        <v>178</v>
      </c>
      <c r="H263" s="5" t="s">
        <v>189</v>
      </c>
      <c r="I263" s="5" t="s">
        <v>194</v>
      </c>
      <c r="J263" s="5" t="s">
        <v>242</v>
      </c>
      <c r="K263" s="16" t="n">
        <v>-40000</v>
      </c>
      <c r="L263" s="5" t="s">
        <v>260</v>
      </c>
      <c r="M263" s="17" t="n">
        <v>30238.8872089507</v>
      </c>
      <c r="N263" s="3" t="str">
        <f aca="false">IF(OR(K263="",M263=""),"",IF(C263="STATS_ONLY","stats",IF(ROUND(K263/M263,2)=E263,"OK","CHECK")))</f>
        <v>OK</v>
      </c>
      <c r="O263" s="3" t="str">
        <f aca="false">TEXT(D263,"yyyy-mm")</f>
        <v>2026-01</v>
      </c>
      <c r="P263" s="13"/>
    </row>
    <row r="264" customFormat="false" ht="15" hidden="false" customHeight="false" outlineLevel="0" collapsed="false">
      <c r="A264" s="5" t="s">
        <v>28</v>
      </c>
      <c r="B264" s="5" t="n">
        <v>9317</v>
      </c>
      <c r="C264" s="5" t="s">
        <v>259</v>
      </c>
      <c r="D264" s="14" t="n">
        <v>46040</v>
      </c>
      <c r="E264" s="15" t="n">
        <v>-2.65</v>
      </c>
      <c r="F264" s="5" t="s">
        <v>262</v>
      </c>
      <c r="G264" s="5" t="s">
        <v>178</v>
      </c>
      <c r="H264" s="5" t="s">
        <v>189</v>
      </c>
      <c r="I264" s="5" t="s">
        <v>194</v>
      </c>
      <c r="J264" s="5" t="s">
        <v>209</v>
      </c>
      <c r="K264" s="16" t="n">
        <v>-80000</v>
      </c>
      <c r="L264" s="5" t="s">
        <v>260</v>
      </c>
      <c r="M264" s="17" t="n">
        <v>30238.8872089507</v>
      </c>
      <c r="N264" s="3" t="str">
        <f aca="false">IF(OR(K264="",M264=""),"",IF(C264="STATS_ONLY","stats",IF(ROUND(K264/M264,2)=E264,"OK","CHECK")))</f>
        <v>OK</v>
      </c>
      <c r="O264" s="3" t="str">
        <f aca="false">TEXT(D264,"yyyy-mm")</f>
        <v>2026-01</v>
      </c>
      <c r="P264" s="13"/>
    </row>
    <row r="265" customFormat="false" ht="15" hidden="false" customHeight="false" outlineLevel="0" collapsed="false">
      <c r="A265" s="5" t="s">
        <v>28</v>
      </c>
      <c r="B265" s="5" t="n">
        <v>9318</v>
      </c>
      <c r="C265" s="5" t="s">
        <v>259</v>
      </c>
      <c r="D265" s="14" t="n">
        <v>46041</v>
      </c>
      <c r="E265" s="15" t="n">
        <v>-1.32</v>
      </c>
      <c r="F265" s="5" t="s">
        <v>218</v>
      </c>
      <c r="G265" s="5" t="s">
        <v>178</v>
      </c>
      <c r="H265" s="5" t="s">
        <v>189</v>
      </c>
      <c r="I265" s="5" t="s">
        <v>194</v>
      </c>
      <c r="J265" s="5" t="s">
        <v>199</v>
      </c>
      <c r="K265" s="16" t="n">
        <v>-40000</v>
      </c>
      <c r="L265" s="5" t="s">
        <v>260</v>
      </c>
      <c r="M265" s="17" t="n">
        <v>30238.8872089507</v>
      </c>
      <c r="N265" s="3" t="str">
        <f aca="false">IF(OR(K265="",M265=""),"",IF(C265="STATS_ONLY","stats",IF(ROUND(K265/M265,2)=E265,"OK","CHECK")))</f>
        <v>OK</v>
      </c>
      <c r="O265" s="3" t="str">
        <f aca="false">TEXT(D265,"yyyy-mm")</f>
        <v>2026-01</v>
      </c>
      <c r="P265" s="13"/>
    </row>
    <row r="266" customFormat="false" ht="15" hidden="false" customHeight="false" outlineLevel="0" collapsed="false">
      <c r="A266" s="5" t="s">
        <v>28</v>
      </c>
      <c r="B266" s="5" t="n">
        <v>9319</v>
      </c>
      <c r="C266" s="5" t="s">
        <v>259</v>
      </c>
      <c r="D266" s="14" t="n">
        <v>46041</v>
      </c>
      <c r="E266" s="15" t="n">
        <v>-1.98</v>
      </c>
      <c r="F266" s="5" t="s">
        <v>251</v>
      </c>
      <c r="G266" s="5" t="s">
        <v>178</v>
      </c>
      <c r="H266" s="5" t="s">
        <v>189</v>
      </c>
      <c r="I266" s="5" t="s">
        <v>194</v>
      </c>
      <c r="J266" s="5" t="s">
        <v>252</v>
      </c>
      <c r="K266" s="16" t="n">
        <v>-60000</v>
      </c>
      <c r="L266" s="5" t="s">
        <v>260</v>
      </c>
      <c r="M266" s="17" t="n">
        <v>30238.8872089507</v>
      </c>
      <c r="N266" s="3" t="str">
        <f aca="false">IF(OR(K266="",M266=""),"",IF(C266="STATS_ONLY","stats",IF(ROUND(K266/M266,2)=E266,"OK","CHECK")))</f>
        <v>OK</v>
      </c>
      <c r="O266" s="3" t="str">
        <f aca="false">TEXT(D266,"yyyy-mm")</f>
        <v>2026-01</v>
      </c>
      <c r="P266" s="13"/>
    </row>
    <row r="267" customFormat="false" ht="15" hidden="false" customHeight="false" outlineLevel="0" collapsed="false">
      <c r="A267" s="5" t="s">
        <v>28</v>
      </c>
      <c r="B267" s="5" t="n">
        <v>9320</v>
      </c>
      <c r="C267" s="5" t="s">
        <v>259</v>
      </c>
      <c r="D267" s="14" t="n">
        <v>46041</v>
      </c>
      <c r="E267" s="15" t="n">
        <v>-7.11</v>
      </c>
      <c r="F267" s="5" t="s">
        <v>236</v>
      </c>
      <c r="G267" s="5" t="s">
        <v>178</v>
      </c>
      <c r="H267" s="5" t="s">
        <v>189</v>
      </c>
      <c r="I267" s="5" t="s">
        <v>194</v>
      </c>
      <c r="J267" s="5" t="s">
        <v>237</v>
      </c>
      <c r="K267" s="16" t="n">
        <v>-215000</v>
      </c>
      <c r="L267" s="5" t="s">
        <v>260</v>
      </c>
      <c r="M267" s="17" t="n">
        <v>30238.8872089507</v>
      </c>
      <c r="N267" s="3" t="str">
        <f aca="false">IF(OR(K267="",M267=""),"",IF(C267="STATS_ONLY","stats",IF(ROUND(K267/M267,2)=E267,"OK","CHECK")))</f>
        <v>OK</v>
      </c>
      <c r="O267" s="3" t="str">
        <f aca="false">TEXT(D267,"yyyy-mm")</f>
        <v>2026-01</v>
      </c>
      <c r="P267" s="13"/>
    </row>
    <row r="268" customFormat="false" ht="15" hidden="false" customHeight="false" outlineLevel="0" collapsed="false">
      <c r="A268" s="5" t="s">
        <v>28</v>
      </c>
      <c r="B268" s="5" t="n">
        <v>9321</v>
      </c>
      <c r="C268" s="5" t="s">
        <v>152</v>
      </c>
      <c r="D268" s="14" t="n">
        <v>46042</v>
      </c>
      <c r="E268" s="15" t="n">
        <v>-99.6</v>
      </c>
      <c r="F268" s="5" t="s">
        <v>283</v>
      </c>
      <c r="G268" s="5" t="s">
        <v>167</v>
      </c>
      <c r="H268" s="5" t="s">
        <v>167</v>
      </c>
      <c r="I268" s="5" t="s">
        <v>168</v>
      </c>
      <c r="J268" s="5"/>
      <c r="K268" s="16"/>
      <c r="L268" s="5"/>
      <c r="M268" s="17"/>
      <c r="N268" s="3" t="str">
        <f aca="false">IF(OR(K268="",M268=""),"",IF(C268="STATS_ONLY","stats",IF(ROUND(K268/M268,2)=E268,"OK","CHECK")))</f>
        <v/>
      </c>
      <c r="O268" s="3" t="str">
        <f aca="false">TEXT(D268,"yyyy-mm")</f>
        <v>2026-01</v>
      </c>
      <c r="P268" s="13" t="s">
        <v>169</v>
      </c>
    </row>
    <row r="269" customFormat="false" ht="15" hidden="false" customHeight="false" outlineLevel="0" collapsed="false">
      <c r="A269" s="5" t="s">
        <v>28</v>
      </c>
      <c r="B269" s="5" t="n">
        <v>9321</v>
      </c>
      <c r="C269" s="5" t="s">
        <v>259</v>
      </c>
      <c r="D269" s="14" t="n">
        <v>46042</v>
      </c>
      <c r="E269" s="15" t="n">
        <v>99.6</v>
      </c>
      <c r="F269" s="5" t="s">
        <v>283</v>
      </c>
      <c r="G269" s="5" t="s">
        <v>167</v>
      </c>
      <c r="H269" s="5" t="s">
        <v>167</v>
      </c>
      <c r="I269" s="5" t="s">
        <v>168</v>
      </c>
      <c r="J269" s="5" t="s">
        <v>203</v>
      </c>
      <c r="K269" s="16" t="n">
        <v>3000000</v>
      </c>
      <c r="L269" s="5" t="s">
        <v>260</v>
      </c>
      <c r="M269" s="18" t="n">
        <f aca="false">K269/E269</f>
        <v>30120.4819277108</v>
      </c>
      <c r="N269" s="3" t="str">
        <f aca="false">IF(OR(K269="",M269=""),"",IF(C269="STATS_ONLY","stats",IF(ROUND(K269/M269,2)=E269,"OK","CHECK")))</f>
        <v>OK</v>
      </c>
      <c r="O269" s="3" t="str">
        <f aca="false">TEXT(D269,"yyyy-mm")</f>
        <v>2026-01</v>
      </c>
      <c r="P269" s="13" t="s">
        <v>170</v>
      </c>
    </row>
    <row r="270" customFormat="false" ht="15" hidden="false" customHeight="false" outlineLevel="0" collapsed="false">
      <c r="A270" s="5" t="s">
        <v>28</v>
      </c>
      <c r="B270" s="5" t="n">
        <v>9322</v>
      </c>
      <c r="C270" s="5" t="s">
        <v>259</v>
      </c>
      <c r="D270" s="14" t="n">
        <v>46042</v>
      </c>
      <c r="E270" s="15" t="n">
        <v>-1.83</v>
      </c>
      <c r="F270" s="5" t="s">
        <v>280</v>
      </c>
      <c r="G270" s="5" t="s">
        <v>178</v>
      </c>
      <c r="H270" s="5" t="s">
        <v>189</v>
      </c>
      <c r="I270" s="5" t="s">
        <v>194</v>
      </c>
      <c r="J270" s="5" t="s">
        <v>209</v>
      </c>
      <c r="K270" s="16" t="n">
        <v>-55000</v>
      </c>
      <c r="L270" s="5" t="s">
        <v>260</v>
      </c>
      <c r="M270" s="17" t="n">
        <v>30120.4819277108</v>
      </c>
      <c r="N270" s="3" t="str">
        <f aca="false">IF(OR(K270="",M270=""),"",IF(C270="STATS_ONLY","stats",IF(ROUND(K270/M270,2)=E270,"OK","CHECK")))</f>
        <v>OK</v>
      </c>
      <c r="O270" s="3" t="str">
        <f aca="false">TEXT(D270,"yyyy-mm")</f>
        <v>2026-01</v>
      </c>
      <c r="P270" s="13"/>
    </row>
    <row r="271" customFormat="false" ht="15" hidden="false" customHeight="false" outlineLevel="0" collapsed="false">
      <c r="A271" s="5" t="s">
        <v>28</v>
      </c>
      <c r="B271" s="5" t="n">
        <v>9323</v>
      </c>
      <c r="C271" s="5" t="s">
        <v>259</v>
      </c>
      <c r="D271" s="14" t="n">
        <v>46042</v>
      </c>
      <c r="E271" s="15" t="n">
        <v>-1.99</v>
      </c>
      <c r="F271" s="5" t="s">
        <v>272</v>
      </c>
      <c r="G271" s="5" t="s">
        <v>178</v>
      </c>
      <c r="H271" s="5" t="s">
        <v>189</v>
      </c>
      <c r="I271" s="5" t="s">
        <v>194</v>
      </c>
      <c r="J271" s="5" t="s">
        <v>197</v>
      </c>
      <c r="K271" s="16" t="n">
        <v>-60000</v>
      </c>
      <c r="L271" s="5" t="s">
        <v>260</v>
      </c>
      <c r="M271" s="17" t="n">
        <v>30120.4819277108</v>
      </c>
      <c r="N271" s="3" t="str">
        <f aca="false">IF(OR(K271="",M271=""),"",IF(C271="STATS_ONLY","stats",IF(ROUND(K271/M271,2)=E271,"OK","CHECK")))</f>
        <v>OK</v>
      </c>
      <c r="O271" s="3" t="str">
        <f aca="false">TEXT(D271,"yyyy-mm")</f>
        <v>2026-01</v>
      </c>
      <c r="P271" s="13"/>
    </row>
    <row r="272" customFormat="false" ht="15" hidden="false" customHeight="false" outlineLevel="0" collapsed="false">
      <c r="A272" s="5" t="s">
        <v>28</v>
      </c>
      <c r="B272" s="5" t="n">
        <v>9324</v>
      </c>
      <c r="C272" s="5" t="s">
        <v>259</v>
      </c>
      <c r="D272" s="14" t="n">
        <v>46042</v>
      </c>
      <c r="E272" s="15" t="n">
        <v>-1.33</v>
      </c>
      <c r="F272" s="5" t="s">
        <v>218</v>
      </c>
      <c r="G272" s="5" t="s">
        <v>178</v>
      </c>
      <c r="H272" s="5" t="s">
        <v>189</v>
      </c>
      <c r="I272" s="5" t="s">
        <v>194</v>
      </c>
      <c r="J272" s="5" t="s">
        <v>199</v>
      </c>
      <c r="K272" s="16" t="n">
        <v>-40000</v>
      </c>
      <c r="L272" s="5" t="s">
        <v>260</v>
      </c>
      <c r="M272" s="17" t="n">
        <v>30120.4819277108</v>
      </c>
      <c r="N272" s="3" t="str">
        <f aca="false">IF(OR(K272="",M272=""),"",IF(C272="STATS_ONLY","stats",IF(ROUND(K272/M272,2)=E272,"OK","CHECK")))</f>
        <v>OK</v>
      </c>
      <c r="O272" s="3" t="str">
        <f aca="false">TEXT(D272,"yyyy-mm")</f>
        <v>2026-01</v>
      </c>
      <c r="P272" s="13"/>
    </row>
    <row r="273" customFormat="false" ht="15" hidden="false" customHeight="false" outlineLevel="0" collapsed="false">
      <c r="A273" s="5" t="s">
        <v>28</v>
      </c>
      <c r="B273" s="5" t="n">
        <v>9325</v>
      </c>
      <c r="C273" s="5" t="s">
        <v>259</v>
      </c>
      <c r="D273" s="14" t="n">
        <v>46042</v>
      </c>
      <c r="E273" s="15" t="n">
        <v>-1.33</v>
      </c>
      <c r="F273" s="5" t="s">
        <v>233</v>
      </c>
      <c r="G273" s="5" t="s">
        <v>178</v>
      </c>
      <c r="H273" s="5" t="s">
        <v>189</v>
      </c>
      <c r="I273" s="5" t="s">
        <v>194</v>
      </c>
      <c r="J273" s="5" t="s">
        <v>181</v>
      </c>
      <c r="K273" s="16" t="n">
        <v>-40000</v>
      </c>
      <c r="L273" s="5" t="s">
        <v>260</v>
      </c>
      <c r="M273" s="17" t="n">
        <v>30120.4819277108</v>
      </c>
      <c r="N273" s="3" t="str">
        <f aca="false">IF(OR(K273="",M273=""),"",IF(C273="STATS_ONLY","stats",IF(ROUND(K273/M273,2)=E273,"OK","CHECK")))</f>
        <v>OK</v>
      </c>
      <c r="O273" s="3" t="str">
        <f aca="false">TEXT(D273,"yyyy-mm")</f>
        <v>2026-01</v>
      </c>
      <c r="P273" s="13"/>
    </row>
    <row r="274" customFormat="false" ht="15" hidden="false" customHeight="false" outlineLevel="0" collapsed="false">
      <c r="A274" s="5" t="s">
        <v>28</v>
      </c>
      <c r="B274" s="5" t="n">
        <v>9326</v>
      </c>
      <c r="C274" s="5" t="s">
        <v>259</v>
      </c>
      <c r="D274" s="14" t="n">
        <v>46042</v>
      </c>
      <c r="E274" s="15" t="n">
        <v>-3.65</v>
      </c>
      <c r="F274" s="5" t="s">
        <v>234</v>
      </c>
      <c r="G274" s="5" t="s">
        <v>178</v>
      </c>
      <c r="H274" s="5" t="s">
        <v>189</v>
      </c>
      <c r="I274" s="5" t="s">
        <v>194</v>
      </c>
      <c r="J274" s="5" t="s">
        <v>235</v>
      </c>
      <c r="K274" s="16" t="n">
        <v>-110000</v>
      </c>
      <c r="L274" s="5" t="s">
        <v>260</v>
      </c>
      <c r="M274" s="17" t="n">
        <v>30120.4819277108</v>
      </c>
      <c r="N274" s="3" t="str">
        <f aca="false">IF(OR(K274="",M274=""),"",IF(C274="STATS_ONLY","stats",IF(ROUND(K274/M274,2)=E274,"OK","CHECK")))</f>
        <v>OK</v>
      </c>
      <c r="O274" s="3" t="str">
        <f aca="false">TEXT(D274,"yyyy-mm")</f>
        <v>2026-01</v>
      </c>
      <c r="P274" s="13"/>
    </row>
    <row r="275" customFormat="false" ht="15" hidden="false" customHeight="false" outlineLevel="0" collapsed="false">
      <c r="A275" s="5" t="s">
        <v>28</v>
      </c>
      <c r="B275" s="5" t="n">
        <v>9610</v>
      </c>
      <c r="C275" s="5" t="s">
        <v>152</v>
      </c>
      <c r="D275" s="14" t="n">
        <v>46042</v>
      </c>
      <c r="E275" s="15" t="n">
        <v>-152</v>
      </c>
      <c r="F275" s="5" t="s">
        <v>243</v>
      </c>
      <c r="G275" s="5" t="s">
        <v>163</v>
      </c>
      <c r="H275" s="5" t="s">
        <v>164</v>
      </c>
      <c r="I275" s="5" t="s">
        <v>244</v>
      </c>
      <c r="J275" s="5"/>
      <c r="K275" s="16"/>
      <c r="L275" s="5"/>
      <c r="M275" s="17"/>
      <c r="N275" s="3" t="str">
        <f aca="false">IF(OR(K275="",M275=""),"",IF(C275="STATS_ONLY","stats",IF(ROUND(K275/M275,2)=E275,"OK","CHECK")))</f>
        <v/>
      </c>
      <c r="O275" s="3" t="str">
        <f aca="false">TEXT(D275,"yyyy-mm")</f>
        <v>2026-01</v>
      </c>
      <c r="P275" s="13"/>
    </row>
    <row r="276" customFormat="false" ht="15" hidden="false" customHeight="false" outlineLevel="0" collapsed="false">
      <c r="A276" s="5" t="s">
        <v>28</v>
      </c>
      <c r="B276" s="5" t="n">
        <v>9611</v>
      </c>
      <c r="C276" s="5" t="s">
        <v>152</v>
      </c>
      <c r="D276" s="14" t="n">
        <v>46042</v>
      </c>
      <c r="E276" s="15" t="n">
        <v>131</v>
      </c>
      <c r="F276" s="5" t="s">
        <v>245</v>
      </c>
      <c r="G276" s="5" t="s">
        <v>163</v>
      </c>
      <c r="H276" s="5" t="s">
        <v>164</v>
      </c>
      <c r="I276" s="5" t="s">
        <v>244</v>
      </c>
      <c r="J276" s="5"/>
      <c r="K276" s="16"/>
      <c r="L276" s="5"/>
      <c r="M276" s="17"/>
      <c r="N276" s="3" t="str">
        <f aca="false">IF(OR(K276="",M276=""),"",IF(C276="STATS_ONLY","stats",IF(ROUND(K276/M276,2)=E276,"OK","CHECK")))</f>
        <v/>
      </c>
      <c r="O276" s="3" t="str">
        <f aca="false">TEXT(D276,"yyyy-mm")</f>
        <v>2026-01</v>
      </c>
      <c r="P276" s="13"/>
    </row>
    <row r="277" customFormat="false" ht="15" hidden="false" customHeight="false" outlineLevel="0" collapsed="false">
      <c r="A277" s="5" t="s">
        <v>28</v>
      </c>
      <c r="B277" s="5" t="n">
        <v>9327</v>
      </c>
      <c r="C277" s="5" t="s">
        <v>259</v>
      </c>
      <c r="D277" s="14" t="n">
        <v>46043</v>
      </c>
      <c r="E277" s="15" t="n">
        <v>-1.99</v>
      </c>
      <c r="F277" s="5" t="s">
        <v>273</v>
      </c>
      <c r="G277" s="5" t="s">
        <v>178</v>
      </c>
      <c r="H277" s="5" t="s">
        <v>189</v>
      </c>
      <c r="I277" s="5" t="s">
        <v>194</v>
      </c>
      <c r="J277" s="5" t="s">
        <v>195</v>
      </c>
      <c r="K277" s="16" t="n">
        <v>-60000</v>
      </c>
      <c r="L277" s="5" t="s">
        <v>260</v>
      </c>
      <c r="M277" s="17" t="n">
        <v>30120.4819277108</v>
      </c>
      <c r="N277" s="3" t="str">
        <f aca="false">IF(OR(K277="",M277=""),"",IF(C277="STATS_ONLY","stats",IF(ROUND(K277/M277,2)=E277,"OK","CHECK")))</f>
        <v>OK</v>
      </c>
      <c r="O277" s="3" t="str">
        <f aca="false">TEXT(D277,"yyyy-mm")</f>
        <v>2026-01</v>
      </c>
      <c r="P277" s="13"/>
    </row>
    <row r="278" customFormat="false" ht="15" hidden="false" customHeight="false" outlineLevel="0" collapsed="false">
      <c r="A278" s="5" t="s">
        <v>28</v>
      </c>
      <c r="B278" s="5" t="n">
        <v>9328</v>
      </c>
      <c r="C278" s="5" t="s">
        <v>259</v>
      </c>
      <c r="D278" s="14" t="n">
        <v>46043</v>
      </c>
      <c r="E278" s="15" t="n">
        <v>-2.16</v>
      </c>
      <c r="F278" s="5" t="s">
        <v>280</v>
      </c>
      <c r="G278" s="5" t="s">
        <v>178</v>
      </c>
      <c r="H278" s="5" t="s">
        <v>189</v>
      </c>
      <c r="I278" s="5" t="s">
        <v>194</v>
      </c>
      <c r="J278" s="5" t="s">
        <v>209</v>
      </c>
      <c r="K278" s="16" t="n">
        <v>-65000</v>
      </c>
      <c r="L278" s="5" t="s">
        <v>260</v>
      </c>
      <c r="M278" s="17" t="n">
        <v>30120.4819277108</v>
      </c>
      <c r="N278" s="3" t="str">
        <f aca="false">IF(OR(K278="",M278=""),"",IF(C278="STATS_ONLY","stats",IF(ROUND(K278/M278,2)=E278,"OK","CHECK")))</f>
        <v>OK</v>
      </c>
      <c r="O278" s="3" t="str">
        <f aca="false">TEXT(D278,"yyyy-mm")</f>
        <v>2026-01</v>
      </c>
      <c r="P278" s="13"/>
    </row>
    <row r="279" customFormat="false" ht="15" hidden="false" customHeight="false" outlineLevel="0" collapsed="false">
      <c r="A279" s="5" t="s">
        <v>28</v>
      </c>
      <c r="B279" s="5" t="n">
        <v>9329</v>
      </c>
      <c r="C279" s="5" t="s">
        <v>259</v>
      </c>
      <c r="D279" s="14" t="n">
        <v>46043</v>
      </c>
      <c r="E279" s="15" t="n">
        <v>-2.49</v>
      </c>
      <c r="F279" s="5" t="s">
        <v>272</v>
      </c>
      <c r="G279" s="5" t="s">
        <v>178</v>
      </c>
      <c r="H279" s="5" t="s">
        <v>189</v>
      </c>
      <c r="I279" s="5" t="s">
        <v>194</v>
      </c>
      <c r="J279" s="5" t="s">
        <v>197</v>
      </c>
      <c r="K279" s="16" t="n">
        <v>-75000</v>
      </c>
      <c r="L279" s="5" t="s">
        <v>260</v>
      </c>
      <c r="M279" s="17" t="n">
        <v>30120.4819277108</v>
      </c>
      <c r="N279" s="3" t="str">
        <f aca="false">IF(OR(K279="",M279=""),"",IF(C279="STATS_ONLY","stats",IF(ROUND(K279/M279,2)=E279,"OK","CHECK")))</f>
        <v>OK</v>
      </c>
      <c r="O279" s="3" t="str">
        <f aca="false">TEXT(D279,"yyyy-mm")</f>
        <v>2026-01</v>
      </c>
      <c r="P279" s="13"/>
    </row>
    <row r="280" customFormat="false" ht="15" hidden="false" customHeight="false" outlineLevel="0" collapsed="false">
      <c r="A280" s="5" t="s">
        <v>28</v>
      </c>
      <c r="B280" s="5" t="n">
        <v>9330</v>
      </c>
      <c r="C280" s="5" t="s">
        <v>259</v>
      </c>
      <c r="D280" s="14" t="n">
        <v>46044</v>
      </c>
      <c r="E280" s="15" t="n">
        <v>-4.48</v>
      </c>
      <c r="F280" s="5" t="s">
        <v>272</v>
      </c>
      <c r="G280" s="5" t="s">
        <v>178</v>
      </c>
      <c r="H280" s="5" t="s">
        <v>189</v>
      </c>
      <c r="I280" s="5" t="s">
        <v>194</v>
      </c>
      <c r="J280" s="5" t="s">
        <v>197</v>
      </c>
      <c r="K280" s="16" t="n">
        <v>-135000</v>
      </c>
      <c r="L280" s="5" t="s">
        <v>260</v>
      </c>
      <c r="M280" s="17" t="n">
        <v>30120.4819277108</v>
      </c>
      <c r="N280" s="3" t="str">
        <f aca="false">IF(OR(K280="",M280=""),"",IF(C280="STATS_ONLY","stats",IF(ROUND(K280/M280,2)=E280,"OK","CHECK")))</f>
        <v>OK</v>
      </c>
      <c r="O280" s="3" t="str">
        <f aca="false">TEXT(D280,"yyyy-mm")</f>
        <v>2026-01</v>
      </c>
      <c r="P280" s="13"/>
    </row>
    <row r="281" customFormat="false" ht="15" hidden="false" customHeight="false" outlineLevel="0" collapsed="false">
      <c r="A281" s="5" t="s">
        <v>28</v>
      </c>
      <c r="B281" s="5" t="n">
        <v>9331</v>
      </c>
      <c r="C281" s="5" t="s">
        <v>259</v>
      </c>
      <c r="D281" s="14" t="n">
        <v>46044</v>
      </c>
      <c r="E281" s="15" t="n">
        <v>-0.83</v>
      </c>
      <c r="F281" s="5" t="s">
        <v>284</v>
      </c>
      <c r="G281" s="5" t="s">
        <v>178</v>
      </c>
      <c r="H281" s="5" t="s">
        <v>189</v>
      </c>
      <c r="I281" s="5" t="s">
        <v>194</v>
      </c>
      <c r="J281" s="5" t="s">
        <v>199</v>
      </c>
      <c r="K281" s="16" t="n">
        <v>-25000</v>
      </c>
      <c r="L281" s="5" t="s">
        <v>260</v>
      </c>
      <c r="M281" s="17" t="n">
        <v>30120.4819277108</v>
      </c>
      <c r="N281" s="3" t="str">
        <f aca="false">IF(OR(K281="",M281=""),"",IF(C281="STATS_ONLY","stats",IF(ROUND(K281/M281,2)=E281,"OK","CHECK")))</f>
        <v>OK</v>
      </c>
      <c r="O281" s="3" t="str">
        <f aca="false">TEXT(D281,"yyyy-mm")</f>
        <v>2026-01</v>
      </c>
      <c r="P281" s="13"/>
    </row>
    <row r="282" customFormat="false" ht="15" hidden="false" customHeight="false" outlineLevel="0" collapsed="false">
      <c r="A282" s="5" t="s">
        <v>28</v>
      </c>
      <c r="B282" s="5" t="n">
        <v>9332</v>
      </c>
      <c r="C282" s="5" t="s">
        <v>259</v>
      </c>
      <c r="D282" s="14" t="n">
        <v>46044</v>
      </c>
      <c r="E282" s="15" t="n">
        <v>-6.14</v>
      </c>
      <c r="F282" s="5" t="s">
        <v>236</v>
      </c>
      <c r="G282" s="5" t="s">
        <v>178</v>
      </c>
      <c r="H282" s="5" t="s">
        <v>189</v>
      </c>
      <c r="I282" s="5" t="s">
        <v>194</v>
      </c>
      <c r="J282" s="5" t="s">
        <v>237</v>
      </c>
      <c r="K282" s="16" t="n">
        <v>-185000</v>
      </c>
      <c r="L282" s="5" t="s">
        <v>260</v>
      </c>
      <c r="M282" s="17" t="n">
        <v>30120.4819277108</v>
      </c>
      <c r="N282" s="3" t="str">
        <f aca="false">IF(OR(K282="",M282=""),"",IF(C282="STATS_ONLY","stats",IF(ROUND(K282/M282,2)=E282,"OK","CHECK")))</f>
        <v>OK</v>
      </c>
      <c r="O282" s="3" t="str">
        <f aca="false">TEXT(D282,"yyyy-mm")</f>
        <v>2026-01</v>
      </c>
      <c r="P282" s="13"/>
    </row>
    <row r="283" customFormat="false" ht="15" hidden="false" customHeight="false" outlineLevel="0" collapsed="false">
      <c r="A283" s="5" t="s">
        <v>28</v>
      </c>
      <c r="B283" s="5" t="n">
        <v>9333</v>
      </c>
      <c r="C283" s="5" t="s">
        <v>259</v>
      </c>
      <c r="D283" s="14" t="n">
        <v>46045</v>
      </c>
      <c r="E283" s="15" t="n">
        <v>-1.66</v>
      </c>
      <c r="F283" s="5" t="s">
        <v>261</v>
      </c>
      <c r="G283" s="5" t="s">
        <v>178</v>
      </c>
      <c r="H283" s="5" t="s">
        <v>189</v>
      </c>
      <c r="I283" s="5" t="s">
        <v>194</v>
      </c>
      <c r="J283" s="5" t="s">
        <v>195</v>
      </c>
      <c r="K283" s="16" t="n">
        <v>-50000</v>
      </c>
      <c r="L283" s="5" t="s">
        <v>260</v>
      </c>
      <c r="M283" s="17" t="n">
        <v>30120.4819277108</v>
      </c>
      <c r="N283" s="3" t="str">
        <f aca="false">IF(OR(K283="",M283=""),"",IF(C283="STATS_ONLY","stats",IF(ROUND(K283/M283,2)=E283,"OK","CHECK")))</f>
        <v>OK</v>
      </c>
      <c r="O283" s="3" t="str">
        <f aca="false">TEXT(D283,"yyyy-mm")</f>
        <v>2026-01</v>
      </c>
      <c r="P283" s="13"/>
    </row>
    <row r="284" customFormat="false" ht="15" hidden="false" customHeight="false" outlineLevel="0" collapsed="false">
      <c r="A284" s="5" t="s">
        <v>28</v>
      </c>
      <c r="B284" s="5" t="n">
        <v>9334</v>
      </c>
      <c r="C284" s="5" t="s">
        <v>259</v>
      </c>
      <c r="D284" s="14" t="n">
        <v>46045</v>
      </c>
      <c r="E284" s="15" t="n">
        <v>-2.32</v>
      </c>
      <c r="F284" s="5" t="s">
        <v>282</v>
      </c>
      <c r="G284" s="5" t="s">
        <v>178</v>
      </c>
      <c r="H284" s="5" t="s">
        <v>189</v>
      </c>
      <c r="I284" s="5" t="s">
        <v>194</v>
      </c>
      <c r="J284" s="5" t="s">
        <v>197</v>
      </c>
      <c r="K284" s="16" t="n">
        <v>-70000</v>
      </c>
      <c r="L284" s="5" t="s">
        <v>260</v>
      </c>
      <c r="M284" s="17" t="n">
        <v>30120.4819277108</v>
      </c>
      <c r="N284" s="3" t="str">
        <f aca="false">IF(OR(K284="",M284=""),"",IF(C284="STATS_ONLY","stats",IF(ROUND(K284/M284,2)=E284,"OK","CHECK")))</f>
        <v>OK</v>
      </c>
      <c r="O284" s="3" t="str">
        <f aca="false">TEXT(D284,"yyyy-mm")</f>
        <v>2026-01</v>
      </c>
      <c r="P284" s="13"/>
    </row>
    <row r="285" customFormat="false" ht="15" hidden="false" customHeight="false" outlineLevel="0" collapsed="false">
      <c r="A285" s="5" t="s">
        <v>28</v>
      </c>
      <c r="B285" s="5" t="n">
        <v>9335</v>
      </c>
      <c r="C285" s="5" t="s">
        <v>259</v>
      </c>
      <c r="D285" s="14" t="n">
        <v>46045</v>
      </c>
      <c r="E285" s="15" t="n">
        <v>-1.16</v>
      </c>
      <c r="F285" s="5" t="s">
        <v>218</v>
      </c>
      <c r="G285" s="5" t="s">
        <v>178</v>
      </c>
      <c r="H285" s="5" t="s">
        <v>189</v>
      </c>
      <c r="I285" s="5" t="s">
        <v>194</v>
      </c>
      <c r="J285" s="5" t="s">
        <v>199</v>
      </c>
      <c r="K285" s="16" t="n">
        <v>-35000</v>
      </c>
      <c r="L285" s="5" t="s">
        <v>260</v>
      </c>
      <c r="M285" s="17" t="n">
        <v>30120.4819277108</v>
      </c>
      <c r="N285" s="3" t="str">
        <f aca="false">IF(OR(K285="",M285=""),"",IF(C285="STATS_ONLY","stats",IF(ROUND(K285/M285,2)=E285,"OK","CHECK")))</f>
        <v>OK</v>
      </c>
      <c r="O285" s="3" t="str">
        <f aca="false">TEXT(D285,"yyyy-mm")</f>
        <v>2026-01</v>
      </c>
      <c r="P285" s="13"/>
    </row>
    <row r="286" customFormat="false" ht="15" hidden="false" customHeight="false" outlineLevel="0" collapsed="false">
      <c r="A286" s="5" t="s">
        <v>28</v>
      </c>
      <c r="B286" s="5" t="n">
        <v>9336</v>
      </c>
      <c r="C286" s="5" t="s">
        <v>259</v>
      </c>
      <c r="D286" s="14" t="n">
        <v>46045</v>
      </c>
      <c r="E286" s="15" t="n">
        <v>-1</v>
      </c>
      <c r="F286" s="5" t="s">
        <v>271</v>
      </c>
      <c r="G286" s="5" t="s">
        <v>178</v>
      </c>
      <c r="H286" s="5" t="s">
        <v>189</v>
      </c>
      <c r="I286" s="5" t="s">
        <v>194</v>
      </c>
      <c r="J286" s="5" t="s">
        <v>181</v>
      </c>
      <c r="K286" s="16" t="n">
        <v>-30000</v>
      </c>
      <c r="L286" s="5" t="s">
        <v>260</v>
      </c>
      <c r="M286" s="17" t="n">
        <v>30120.4819277108</v>
      </c>
      <c r="N286" s="3" t="str">
        <f aca="false">IF(OR(K286="",M286=""),"",IF(C286="STATS_ONLY","stats",IF(ROUND(K286/M286,2)=E286,"OK","CHECK")))</f>
        <v>OK</v>
      </c>
      <c r="O286" s="3" t="str">
        <f aca="false">TEXT(D286,"yyyy-mm")</f>
        <v>2026-01</v>
      </c>
      <c r="P286" s="13"/>
    </row>
    <row r="287" customFormat="false" ht="15" hidden="false" customHeight="false" outlineLevel="0" collapsed="false">
      <c r="A287" s="5" t="s">
        <v>28</v>
      </c>
      <c r="B287" s="5" t="n">
        <v>9337</v>
      </c>
      <c r="C287" s="5" t="s">
        <v>259</v>
      </c>
      <c r="D287" s="14" t="n">
        <v>46045</v>
      </c>
      <c r="E287" s="15" t="n">
        <v>-1.49</v>
      </c>
      <c r="F287" s="5" t="s">
        <v>251</v>
      </c>
      <c r="G287" s="5" t="s">
        <v>178</v>
      </c>
      <c r="H287" s="5" t="s">
        <v>189</v>
      </c>
      <c r="I287" s="5" t="s">
        <v>194</v>
      </c>
      <c r="J287" s="5" t="s">
        <v>252</v>
      </c>
      <c r="K287" s="16" t="n">
        <v>-45000</v>
      </c>
      <c r="L287" s="5" t="s">
        <v>260</v>
      </c>
      <c r="M287" s="17" t="n">
        <v>30120.4819277108</v>
      </c>
      <c r="N287" s="3" t="str">
        <f aca="false">IF(OR(K287="",M287=""),"",IF(C287="STATS_ONLY","stats",IF(ROUND(K287/M287,2)=E287,"OK","CHECK")))</f>
        <v>OK</v>
      </c>
      <c r="O287" s="3" t="str">
        <f aca="false">TEXT(D287,"yyyy-mm")</f>
        <v>2026-01</v>
      </c>
      <c r="P287" s="13"/>
    </row>
    <row r="288" customFormat="false" ht="15" hidden="false" customHeight="false" outlineLevel="0" collapsed="false">
      <c r="A288" s="5" t="s">
        <v>28</v>
      </c>
      <c r="B288" s="5" t="n">
        <v>9338</v>
      </c>
      <c r="C288" s="5" t="s">
        <v>259</v>
      </c>
      <c r="D288" s="14" t="n">
        <v>46045</v>
      </c>
      <c r="E288" s="15" t="n">
        <v>-6.31</v>
      </c>
      <c r="F288" s="5" t="s">
        <v>236</v>
      </c>
      <c r="G288" s="5" t="s">
        <v>178</v>
      </c>
      <c r="H288" s="5" t="s">
        <v>189</v>
      </c>
      <c r="I288" s="5" t="s">
        <v>194</v>
      </c>
      <c r="J288" s="5" t="s">
        <v>237</v>
      </c>
      <c r="K288" s="16" t="n">
        <v>-190000</v>
      </c>
      <c r="L288" s="5" t="s">
        <v>260</v>
      </c>
      <c r="M288" s="17" t="n">
        <v>30120.4819277108</v>
      </c>
      <c r="N288" s="3" t="str">
        <f aca="false">IF(OR(K288="",M288=""),"",IF(C288="STATS_ONLY","stats",IF(ROUND(K288/M288,2)=E288,"OK","CHECK")))</f>
        <v>OK</v>
      </c>
      <c r="O288" s="3" t="str">
        <f aca="false">TEXT(D288,"yyyy-mm")</f>
        <v>2026-01</v>
      </c>
      <c r="P288" s="13"/>
    </row>
    <row r="289" customFormat="false" ht="15" hidden="false" customHeight="false" outlineLevel="0" collapsed="false">
      <c r="A289" s="5" t="s">
        <v>28</v>
      </c>
      <c r="B289" s="5" t="n">
        <v>9609</v>
      </c>
      <c r="C289" s="5" t="s">
        <v>152</v>
      </c>
      <c r="D289" s="14" t="n">
        <v>46045</v>
      </c>
      <c r="E289" s="15" t="n">
        <v>-7</v>
      </c>
      <c r="F289" s="5" t="s">
        <v>249</v>
      </c>
      <c r="G289" s="5" t="s">
        <v>163</v>
      </c>
      <c r="H289" s="5" t="s">
        <v>164</v>
      </c>
      <c r="I289" s="5" t="s">
        <v>250</v>
      </c>
      <c r="J289" s="5"/>
      <c r="K289" s="16"/>
      <c r="L289" s="5"/>
      <c r="M289" s="17"/>
      <c r="N289" s="3" t="str">
        <f aca="false">IF(OR(K289="",M289=""),"",IF(C289="STATS_ONLY","stats",IF(ROUND(K289/M289,2)=E289,"OK","CHECK")))</f>
        <v/>
      </c>
      <c r="O289" s="3" t="str">
        <f aca="false">TEXT(D289,"yyyy-mm")</f>
        <v>2026-01</v>
      </c>
      <c r="P289" s="13"/>
    </row>
    <row r="290" customFormat="false" ht="15" hidden="false" customHeight="false" outlineLevel="0" collapsed="false">
      <c r="A290" s="5" t="s">
        <v>28</v>
      </c>
      <c r="B290" s="5" t="n">
        <v>9339</v>
      </c>
      <c r="C290" s="5" t="s">
        <v>259</v>
      </c>
      <c r="D290" s="14" t="n">
        <v>46046</v>
      </c>
      <c r="E290" s="15" t="n">
        <v>-1.99</v>
      </c>
      <c r="F290" s="5" t="s">
        <v>273</v>
      </c>
      <c r="G290" s="5" t="s">
        <v>178</v>
      </c>
      <c r="H290" s="5" t="s">
        <v>189</v>
      </c>
      <c r="I290" s="5" t="s">
        <v>194</v>
      </c>
      <c r="J290" s="5" t="s">
        <v>195</v>
      </c>
      <c r="K290" s="16" t="n">
        <v>-60000</v>
      </c>
      <c r="L290" s="5" t="s">
        <v>260</v>
      </c>
      <c r="M290" s="17" t="n">
        <v>30120.4819277108</v>
      </c>
      <c r="N290" s="3" t="str">
        <f aca="false">IF(OR(K290="",M290=""),"",IF(C290="STATS_ONLY","stats",IF(ROUND(K290/M290,2)=E290,"OK","CHECK")))</f>
        <v>OK</v>
      </c>
      <c r="O290" s="3" t="str">
        <f aca="false">TEXT(D290,"yyyy-mm")</f>
        <v>2026-01</v>
      </c>
      <c r="P290" s="13"/>
    </row>
    <row r="291" customFormat="false" ht="15" hidden="false" customHeight="false" outlineLevel="0" collapsed="false">
      <c r="A291" s="5" t="s">
        <v>28</v>
      </c>
      <c r="B291" s="5" t="n">
        <v>9340</v>
      </c>
      <c r="C291" s="5" t="s">
        <v>259</v>
      </c>
      <c r="D291" s="14" t="n">
        <v>46046</v>
      </c>
      <c r="E291" s="15" t="n">
        <v>-1.49</v>
      </c>
      <c r="F291" s="5" t="s">
        <v>284</v>
      </c>
      <c r="G291" s="5" t="s">
        <v>178</v>
      </c>
      <c r="H291" s="5" t="s">
        <v>189</v>
      </c>
      <c r="I291" s="5" t="s">
        <v>194</v>
      </c>
      <c r="J291" s="5" t="s">
        <v>199</v>
      </c>
      <c r="K291" s="16" t="n">
        <v>-45000</v>
      </c>
      <c r="L291" s="5" t="s">
        <v>260</v>
      </c>
      <c r="M291" s="17" t="n">
        <v>30120.4819277108</v>
      </c>
      <c r="N291" s="3" t="str">
        <f aca="false">IF(OR(K291="",M291=""),"",IF(C291="STATS_ONLY","stats",IF(ROUND(K291/M291,2)=E291,"OK","CHECK")))</f>
        <v>OK</v>
      </c>
      <c r="O291" s="3" t="str">
        <f aca="false">TEXT(D291,"yyyy-mm")</f>
        <v>2026-01</v>
      </c>
      <c r="P291" s="13"/>
    </row>
    <row r="292" customFormat="false" ht="15" hidden="false" customHeight="false" outlineLevel="0" collapsed="false">
      <c r="A292" s="5" t="s">
        <v>28</v>
      </c>
      <c r="B292" s="5" t="n">
        <v>9341</v>
      </c>
      <c r="C292" s="5" t="s">
        <v>259</v>
      </c>
      <c r="D292" s="14" t="n">
        <v>46046</v>
      </c>
      <c r="E292" s="15" t="n">
        <v>-1.33</v>
      </c>
      <c r="F292" s="5" t="s">
        <v>234</v>
      </c>
      <c r="G292" s="5" t="s">
        <v>178</v>
      </c>
      <c r="H292" s="5" t="s">
        <v>189</v>
      </c>
      <c r="I292" s="5" t="s">
        <v>194</v>
      </c>
      <c r="J292" s="5" t="s">
        <v>235</v>
      </c>
      <c r="K292" s="16" t="n">
        <v>-40000</v>
      </c>
      <c r="L292" s="5" t="s">
        <v>260</v>
      </c>
      <c r="M292" s="17" t="n">
        <v>30120.4819277108</v>
      </c>
      <c r="N292" s="3" t="str">
        <f aca="false">IF(OR(K292="",M292=""),"",IF(C292="STATS_ONLY","stats",IF(ROUND(K292/M292,2)=E292,"OK","CHECK")))</f>
        <v>OK</v>
      </c>
      <c r="O292" s="3" t="str">
        <f aca="false">TEXT(D292,"yyyy-mm")</f>
        <v>2026-01</v>
      </c>
      <c r="P292" s="13"/>
    </row>
    <row r="293" customFormat="false" ht="15" hidden="false" customHeight="false" outlineLevel="0" collapsed="false">
      <c r="A293" s="5" t="s">
        <v>28</v>
      </c>
      <c r="B293" s="5" t="n">
        <v>9342</v>
      </c>
      <c r="C293" s="5" t="s">
        <v>259</v>
      </c>
      <c r="D293" s="14" t="n">
        <v>46046</v>
      </c>
      <c r="E293" s="15" t="n">
        <v>-1.49</v>
      </c>
      <c r="F293" s="5" t="s">
        <v>230</v>
      </c>
      <c r="G293" s="5" t="s">
        <v>178</v>
      </c>
      <c r="H293" s="5" t="s">
        <v>189</v>
      </c>
      <c r="I293" s="5" t="s">
        <v>194</v>
      </c>
      <c r="J293" s="5" t="s">
        <v>231</v>
      </c>
      <c r="K293" s="16" t="n">
        <v>-45000</v>
      </c>
      <c r="L293" s="5" t="s">
        <v>260</v>
      </c>
      <c r="M293" s="17" t="n">
        <v>30120.4819277108</v>
      </c>
      <c r="N293" s="3" t="str">
        <f aca="false">IF(OR(K293="",M293=""),"",IF(C293="STATS_ONLY","stats",IF(ROUND(K293/M293,2)=E293,"OK","CHECK")))</f>
        <v>OK</v>
      </c>
      <c r="O293" s="3" t="str">
        <f aca="false">TEXT(D293,"yyyy-mm")</f>
        <v>2026-01</v>
      </c>
      <c r="P293" s="13"/>
    </row>
    <row r="294" customFormat="false" ht="15" hidden="false" customHeight="false" outlineLevel="0" collapsed="false">
      <c r="A294" s="5" t="s">
        <v>28</v>
      </c>
      <c r="B294" s="5" t="n">
        <v>9343</v>
      </c>
      <c r="C294" s="5" t="s">
        <v>259</v>
      </c>
      <c r="D294" s="14" t="n">
        <v>46047</v>
      </c>
      <c r="E294" s="15" t="n">
        <v>-2.66</v>
      </c>
      <c r="F294" s="5" t="s">
        <v>208</v>
      </c>
      <c r="G294" s="5" t="s">
        <v>178</v>
      </c>
      <c r="H294" s="5" t="s">
        <v>189</v>
      </c>
      <c r="I294" s="5" t="s">
        <v>194</v>
      </c>
      <c r="J294" s="5" t="s">
        <v>209</v>
      </c>
      <c r="K294" s="16" t="n">
        <v>-80000</v>
      </c>
      <c r="L294" s="5" t="s">
        <v>260</v>
      </c>
      <c r="M294" s="17" t="n">
        <v>30120.4819277108</v>
      </c>
      <c r="N294" s="3" t="str">
        <f aca="false">IF(OR(K294="",M294=""),"",IF(C294="STATS_ONLY","stats",IF(ROUND(K294/M294,2)=E294,"OK","CHECK")))</f>
        <v>OK</v>
      </c>
      <c r="O294" s="3" t="str">
        <f aca="false">TEXT(D294,"yyyy-mm")</f>
        <v>2026-01</v>
      </c>
      <c r="P294" s="13"/>
    </row>
    <row r="295" customFormat="false" ht="15" hidden="false" customHeight="false" outlineLevel="0" collapsed="false">
      <c r="A295" s="5" t="s">
        <v>28</v>
      </c>
      <c r="B295" s="5" t="n">
        <v>9344</v>
      </c>
      <c r="C295" s="5" t="s">
        <v>259</v>
      </c>
      <c r="D295" s="14" t="n">
        <v>46047</v>
      </c>
      <c r="E295" s="15" t="n">
        <v>-1.83</v>
      </c>
      <c r="F295" s="5" t="s">
        <v>281</v>
      </c>
      <c r="G295" s="5" t="s">
        <v>178</v>
      </c>
      <c r="H295" s="5" t="s">
        <v>189</v>
      </c>
      <c r="I295" s="5" t="s">
        <v>194</v>
      </c>
      <c r="J295" s="5" t="s">
        <v>197</v>
      </c>
      <c r="K295" s="16" t="n">
        <v>-55000</v>
      </c>
      <c r="L295" s="5" t="s">
        <v>260</v>
      </c>
      <c r="M295" s="17" t="n">
        <v>30120.4819277108</v>
      </c>
      <c r="N295" s="3" t="str">
        <f aca="false">IF(OR(K295="",M295=""),"",IF(C295="STATS_ONLY","stats",IF(ROUND(K295/M295,2)=E295,"OK","CHECK")))</f>
        <v>OK</v>
      </c>
      <c r="O295" s="3" t="str">
        <f aca="false">TEXT(D295,"yyyy-mm")</f>
        <v>2026-01</v>
      </c>
      <c r="P295" s="13"/>
    </row>
    <row r="296" customFormat="false" ht="15" hidden="false" customHeight="false" outlineLevel="0" collapsed="false">
      <c r="A296" s="5" t="s">
        <v>28</v>
      </c>
      <c r="B296" s="5" t="n">
        <v>9345</v>
      </c>
      <c r="C296" s="5" t="s">
        <v>259</v>
      </c>
      <c r="D296" s="14" t="n">
        <v>46047</v>
      </c>
      <c r="E296" s="15" t="n">
        <v>-0.83</v>
      </c>
      <c r="F296" s="5" t="s">
        <v>279</v>
      </c>
      <c r="G296" s="5" t="s">
        <v>178</v>
      </c>
      <c r="H296" s="5" t="s">
        <v>189</v>
      </c>
      <c r="I296" s="5" t="s">
        <v>194</v>
      </c>
      <c r="J296" s="5" t="s">
        <v>181</v>
      </c>
      <c r="K296" s="16" t="n">
        <v>-25000</v>
      </c>
      <c r="L296" s="5" t="s">
        <v>260</v>
      </c>
      <c r="M296" s="17" t="n">
        <v>30120.4819277108</v>
      </c>
      <c r="N296" s="3" t="str">
        <f aca="false">IF(OR(K296="",M296=""),"",IF(C296="STATS_ONLY","stats",IF(ROUND(K296/M296,2)=E296,"OK","CHECK")))</f>
        <v>OK</v>
      </c>
      <c r="O296" s="3" t="str">
        <f aca="false">TEXT(D296,"yyyy-mm")</f>
        <v>2026-01</v>
      </c>
      <c r="P296" s="13"/>
    </row>
    <row r="297" customFormat="false" ht="15" hidden="false" customHeight="false" outlineLevel="0" collapsed="false">
      <c r="A297" s="5" t="s">
        <v>28</v>
      </c>
      <c r="B297" s="5" t="n">
        <v>9346</v>
      </c>
      <c r="C297" s="5" t="s">
        <v>259</v>
      </c>
      <c r="D297" s="14" t="n">
        <v>46047</v>
      </c>
      <c r="E297" s="15" t="n">
        <v>-1.49</v>
      </c>
      <c r="F297" s="5" t="s">
        <v>251</v>
      </c>
      <c r="G297" s="5" t="s">
        <v>178</v>
      </c>
      <c r="H297" s="5" t="s">
        <v>189</v>
      </c>
      <c r="I297" s="5" t="s">
        <v>194</v>
      </c>
      <c r="J297" s="5" t="s">
        <v>252</v>
      </c>
      <c r="K297" s="16" t="n">
        <v>-45000</v>
      </c>
      <c r="L297" s="5" t="s">
        <v>260</v>
      </c>
      <c r="M297" s="17" t="n">
        <v>30120.4819277108</v>
      </c>
      <c r="N297" s="3" t="str">
        <f aca="false">IF(OR(K297="",M297=""),"",IF(C297="STATS_ONLY","stats",IF(ROUND(K297/M297,2)=E297,"OK","CHECK")))</f>
        <v>OK</v>
      </c>
      <c r="O297" s="3" t="str">
        <f aca="false">TEXT(D297,"yyyy-mm")</f>
        <v>2026-01</v>
      </c>
      <c r="P297" s="13"/>
    </row>
    <row r="298" customFormat="false" ht="15" hidden="false" customHeight="false" outlineLevel="0" collapsed="false">
      <c r="A298" s="5" t="s">
        <v>28</v>
      </c>
      <c r="B298" s="5" t="n">
        <v>9347</v>
      </c>
      <c r="C298" s="5" t="s">
        <v>259</v>
      </c>
      <c r="D298" s="14" t="n">
        <v>46047</v>
      </c>
      <c r="E298" s="15" t="n">
        <v>-6.31</v>
      </c>
      <c r="F298" s="5" t="s">
        <v>236</v>
      </c>
      <c r="G298" s="5" t="s">
        <v>178</v>
      </c>
      <c r="H298" s="5" t="s">
        <v>189</v>
      </c>
      <c r="I298" s="5" t="s">
        <v>194</v>
      </c>
      <c r="J298" s="5" t="s">
        <v>237</v>
      </c>
      <c r="K298" s="16" t="n">
        <v>-190000</v>
      </c>
      <c r="L298" s="5" t="s">
        <v>260</v>
      </c>
      <c r="M298" s="17" t="n">
        <v>30120.4819277108</v>
      </c>
      <c r="N298" s="3" t="str">
        <f aca="false">IF(OR(K298="",M298=""),"",IF(C298="STATS_ONLY","stats",IF(ROUND(K298/M298,2)=E298,"OK","CHECK")))</f>
        <v>OK</v>
      </c>
      <c r="O298" s="3" t="str">
        <f aca="false">TEXT(D298,"yyyy-mm")</f>
        <v>2026-01</v>
      </c>
      <c r="P298" s="13"/>
    </row>
    <row r="299" customFormat="false" ht="15" hidden="false" customHeight="false" outlineLevel="0" collapsed="false">
      <c r="A299" s="5" t="s">
        <v>28</v>
      </c>
      <c r="B299" s="5" t="n">
        <v>9348</v>
      </c>
      <c r="C299" s="5" t="s">
        <v>259</v>
      </c>
      <c r="D299" s="14" t="n">
        <v>46048</v>
      </c>
      <c r="E299" s="15" t="n">
        <v>-2.49</v>
      </c>
      <c r="F299" s="5" t="s">
        <v>234</v>
      </c>
      <c r="G299" s="5" t="s">
        <v>178</v>
      </c>
      <c r="H299" s="5" t="s">
        <v>189</v>
      </c>
      <c r="I299" s="5" t="s">
        <v>194</v>
      </c>
      <c r="J299" s="5" t="s">
        <v>235</v>
      </c>
      <c r="K299" s="16" t="n">
        <v>-75000</v>
      </c>
      <c r="L299" s="5" t="s">
        <v>260</v>
      </c>
      <c r="M299" s="17" t="n">
        <v>30120.4819277108</v>
      </c>
      <c r="N299" s="3" t="str">
        <f aca="false">IF(OR(K299="",M299=""),"",IF(C299="STATS_ONLY","stats",IF(ROUND(K299/M299,2)=E299,"OK","CHECK")))</f>
        <v>OK</v>
      </c>
      <c r="O299" s="3" t="str">
        <f aca="false">TEXT(D299,"yyyy-mm")</f>
        <v>2026-01</v>
      </c>
      <c r="P299" s="13"/>
    </row>
    <row r="300" customFormat="false" ht="15" hidden="false" customHeight="false" outlineLevel="0" collapsed="false">
      <c r="A300" s="5" t="s">
        <v>28</v>
      </c>
      <c r="B300" s="5" t="n">
        <v>9349</v>
      </c>
      <c r="C300" s="5" t="s">
        <v>259</v>
      </c>
      <c r="D300" s="14" t="n">
        <v>46048</v>
      </c>
      <c r="E300" s="15" t="n">
        <v>-4.98</v>
      </c>
      <c r="F300" s="5" t="s">
        <v>236</v>
      </c>
      <c r="G300" s="5" t="s">
        <v>178</v>
      </c>
      <c r="H300" s="5" t="s">
        <v>189</v>
      </c>
      <c r="I300" s="5" t="s">
        <v>194</v>
      </c>
      <c r="J300" s="5" t="s">
        <v>237</v>
      </c>
      <c r="K300" s="16" t="n">
        <v>-150000</v>
      </c>
      <c r="L300" s="5" t="s">
        <v>260</v>
      </c>
      <c r="M300" s="17" t="n">
        <v>30120.4819277108</v>
      </c>
      <c r="N300" s="3" t="str">
        <f aca="false">IF(OR(K300="",M300=""),"",IF(C300="STATS_ONLY","stats",IF(ROUND(K300/M300,2)=E300,"OK","CHECK")))</f>
        <v>OK</v>
      </c>
      <c r="O300" s="3" t="str">
        <f aca="false">TEXT(D300,"yyyy-mm")</f>
        <v>2026-01</v>
      </c>
      <c r="P300" s="13"/>
    </row>
    <row r="301" customFormat="false" ht="15" hidden="false" customHeight="false" outlineLevel="0" collapsed="false">
      <c r="A301" s="5" t="s">
        <v>28</v>
      </c>
      <c r="B301" s="5" t="n">
        <v>9350</v>
      </c>
      <c r="C301" s="5" t="s">
        <v>259</v>
      </c>
      <c r="D301" s="14" t="n">
        <v>46048</v>
      </c>
      <c r="E301" s="15" t="n">
        <v>-2.49</v>
      </c>
      <c r="F301" s="5" t="s">
        <v>285</v>
      </c>
      <c r="G301" s="5" t="s">
        <v>178</v>
      </c>
      <c r="H301" s="5" t="s">
        <v>189</v>
      </c>
      <c r="I301" s="5" t="s">
        <v>194</v>
      </c>
      <c r="J301" s="5" t="s">
        <v>206</v>
      </c>
      <c r="K301" s="16" t="n">
        <v>-75000</v>
      </c>
      <c r="L301" s="5" t="s">
        <v>260</v>
      </c>
      <c r="M301" s="17" t="n">
        <v>30120.4819277108</v>
      </c>
      <c r="N301" s="3" t="str">
        <f aca="false">IF(OR(K301="",M301=""),"",IF(C301="STATS_ONLY","stats",IF(ROUND(K301/M301,2)=E301,"OK","CHECK")))</f>
        <v>OK</v>
      </c>
      <c r="O301" s="3" t="str">
        <f aca="false">TEXT(D301,"yyyy-mm")</f>
        <v>2026-01</v>
      </c>
      <c r="P301" s="13"/>
    </row>
    <row r="302" customFormat="false" ht="15" hidden="false" customHeight="false" outlineLevel="0" collapsed="false">
      <c r="A302" s="5" t="s">
        <v>28</v>
      </c>
      <c r="B302" s="5" t="n">
        <v>9351</v>
      </c>
      <c r="C302" s="5" t="s">
        <v>259</v>
      </c>
      <c r="D302" s="14" t="n">
        <v>46049</v>
      </c>
      <c r="E302" s="15" t="n">
        <v>-2.49</v>
      </c>
      <c r="F302" s="5" t="s">
        <v>280</v>
      </c>
      <c r="G302" s="5" t="s">
        <v>178</v>
      </c>
      <c r="H302" s="5" t="s">
        <v>189</v>
      </c>
      <c r="I302" s="5" t="s">
        <v>194</v>
      </c>
      <c r="J302" s="5" t="s">
        <v>209</v>
      </c>
      <c r="K302" s="16" t="n">
        <v>-75000</v>
      </c>
      <c r="L302" s="5" t="s">
        <v>260</v>
      </c>
      <c r="M302" s="17" t="n">
        <v>30120.4819277108</v>
      </c>
      <c r="N302" s="3" t="str">
        <f aca="false">IF(OR(K302="",M302=""),"",IF(C302="STATS_ONLY","stats",IF(ROUND(K302/M302,2)=E302,"OK","CHECK")))</f>
        <v>OK</v>
      </c>
      <c r="O302" s="3" t="str">
        <f aca="false">TEXT(D302,"yyyy-mm")</f>
        <v>2026-01</v>
      </c>
      <c r="P302" s="13"/>
    </row>
    <row r="303" customFormat="false" ht="15" hidden="false" customHeight="false" outlineLevel="0" collapsed="false">
      <c r="A303" s="5" t="s">
        <v>28</v>
      </c>
      <c r="B303" s="5" t="n">
        <v>9352</v>
      </c>
      <c r="C303" s="5" t="s">
        <v>259</v>
      </c>
      <c r="D303" s="14" t="n">
        <v>46049</v>
      </c>
      <c r="E303" s="15" t="n">
        <v>-1.49</v>
      </c>
      <c r="F303" s="5" t="s">
        <v>277</v>
      </c>
      <c r="G303" s="5" t="s">
        <v>178</v>
      </c>
      <c r="H303" s="5" t="s">
        <v>189</v>
      </c>
      <c r="I303" s="5" t="s">
        <v>194</v>
      </c>
      <c r="J303" s="5" t="s">
        <v>199</v>
      </c>
      <c r="K303" s="16" t="n">
        <v>-45000</v>
      </c>
      <c r="L303" s="5" t="s">
        <v>260</v>
      </c>
      <c r="M303" s="17" t="n">
        <v>30120.4819277108</v>
      </c>
      <c r="N303" s="3" t="str">
        <f aca="false">IF(OR(K303="",M303=""),"",IF(C303="STATS_ONLY","stats",IF(ROUND(K303/M303,2)=E303,"OK","CHECK")))</f>
        <v>OK</v>
      </c>
      <c r="O303" s="3" t="str">
        <f aca="false">TEXT(D303,"yyyy-mm")</f>
        <v>2026-01</v>
      </c>
      <c r="P303" s="13"/>
    </row>
    <row r="304" customFormat="false" ht="15" hidden="false" customHeight="false" outlineLevel="0" collapsed="false">
      <c r="A304" s="5" t="s">
        <v>28</v>
      </c>
      <c r="B304" s="5" t="n">
        <v>9353</v>
      </c>
      <c r="C304" s="5" t="s">
        <v>259</v>
      </c>
      <c r="D304" s="14" t="n">
        <v>46049</v>
      </c>
      <c r="E304" s="15" t="n">
        <v>-6.97</v>
      </c>
      <c r="F304" s="5" t="s">
        <v>236</v>
      </c>
      <c r="G304" s="5" t="s">
        <v>178</v>
      </c>
      <c r="H304" s="5" t="s">
        <v>189</v>
      </c>
      <c r="I304" s="5" t="s">
        <v>194</v>
      </c>
      <c r="J304" s="5" t="s">
        <v>237</v>
      </c>
      <c r="K304" s="16" t="n">
        <v>-210000</v>
      </c>
      <c r="L304" s="5" t="s">
        <v>260</v>
      </c>
      <c r="M304" s="17" t="n">
        <v>30120.4819277108</v>
      </c>
      <c r="N304" s="3" t="str">
        <f aca="false">IF(OR(K304="",M304=""),"",IF(C304="STATS_ONLY","stats",IF(ROUND(K304/M304,2)=E304,"OK","CHECK")))</f>
        <v>OK</v>
      </c>
      <c r="O304" s="3" t="str">
        <f aca="false">TEXT(D304,"yyyy-mm")</f>
        <v>2026-01</v>
      </c>
      <c r="P304" s="13"/>
    </row>
    <row r="305" customFormat="false" ht="15" hidden="false" customHeight="false" outlineLevel="0" collapsed="false">
      <c r="A305" s="5" t="s">
        <v>28</v>
      </c>
      <c r="B305" s="5" t="n">
        <v>9354</v>
      </c>
      <c r="C305" s="5" t="s">
        <v>259</v>
      </c>
      <c r="D305" s="14" t="n">
        <v>46050</v>
      </c>
      <c r="E305" s="15" t="n">
        <v>-3.82</v>
      </c>
      <c r="F305" s="5" t="s">
        <v>217</v>
      </c>
      <c r="G305" s="5" t="s">
        <v>178</v>
      </c>
      <c r="H305" s="5" t="s">
        <v>189</v>
      </c>
      <c r="I305" s="5" t="s">
        <v>194</v>
      </c>
      <c r="J305" s="5" t="s">
        <v>197</v>
      </c>
      <c r="K305" s="16" t="n">
        <v>-115000</v>
      </c>
      <c r="L305" s="5" t="s">
        <v>260</v>
      </c>
      <c r="M305" s="17" t="n">
        <v>30120.4819277108</v>
      </c>
      <c r="N305" s="3" t="str">
        <f aca="false">IF(OR(K305="",M305=""),"",IF(C305="STATS_ONLY","stats",IF(ROUND(K305/M305,2)=E305,"OK","CHECK")))</f>
        <v>OK</v>
      </c>
      <c r="O305" s="3" t="str">
        <f aca="false">TEXT(D305,"yyyy-mm")</f>
        <v>2026-01</v>
      </c>
      <c r="P305" s="13"/>
    </row>
    <row r="306" customFormat="false" ht="15" hidden="false" customHeight="false" outlineLevel="0" collapsed="false">
      <c r="A306" s="5" t="s">
        <v>28</v>
      </c>
      <c r="B306" s="5" t="n">
        <v>9355</v>
      </c>
      <c r="C306" s="5" t="s">
        <v>259</v>
      </c>
      <c r="D306" s="14" t="n">
        <v>46050</v>
      </c>
      <c r="E306" s="15" t="n">
        <v>-1.16</v>
      </c>
      <c r="F306" s="5" t="s">
        <v>277</v>
      </c>
      <c r="G306" s="5" t="s">
        <v>178</v>
      </c>
      <c r="H306" s="5" t="s">
        <v>189</v>
      </c>
      <c r="I306" s="5" t="s">
        <v>194</v>
      </c>
      <c r="J306" s="5" t="s">
        <v>199</v>
      </c>
      <c r="K306" s="16" t="n">
        <v>-35000</v>
      </c>
      <c r="L306" s="5" t="s">
        <v>260</v>
      </c>
      <c r="M306" s="17" t="n">
        <v>30120.4819277108</v>
      </c>
      <c r="N306" s="3" t="str">
        <f aca="false">IF(OR(K306="",M306=""),"",IF(C306="STATS_ONLY","stats",IF(ROUND(K306/M306,2)=E306,"OK","CHECK")))</f>
        <v>OK</v>
      </c>
      <c r="O306" s="3" t="str">
        <f aca="false">TEXT(D306,"yyyy-mm")</f>
        <v>2026-01</v>
      </c>
      <c r="P306" s="13"/>
    </row>
    <row r="307" customFormat="false" ht="15" hidden="false" customHeight="false" outlineLevel="0" collapsed="false">
      <c r="A307" s="5" t="s">
        <v>28</v>
      </c>
      <c r="B307" s="5" t="n">
        <v>9356</v>
      </c>
      <c r="C307" s="5" t="s">
        <v>259</v>
      </c>
      <c r="D307" s="14" t="n">
        <v>46051</v>
      </c>
      <c r="E307" s="15" t="n">
        <v>-1.83</v>
      </c>
      <c r="F307" s="5" t="s">
        <v>286</v>
      </c>
      <c r="G307" s="5" t="s">
        <v>178</v>
      </c>
      <c r="H307" s="5" t="s">
        <v>189</v>
      </c>
      <c r="I307" s="5" t="s">
        <v>194</v>
      </c>
      <c r="J307" s="5" t="s">
        <v>209</v>
      </c>
      <c r="K307" s="16" t="n">
        <v>-55000</v>
      </c>
      <c r="L307" s="5" t="s">
        <v>260</v>
      </c>
      <c r="M307" s="17" t="n">
        <v>30120.4819277108</v>
      </c>
      <c r="N307" s="3" t="str">
        <f aca="false">IF(OR(K307="",M307=""),"",IF(C307="STATS_ONLY","stats",IF(ROUND(K307/M307,2)=E307,"OK","CHECK")))</f>
        <v>OK</v>
      </c>
      <c r="O307" s="3" t="str">
        <f aca="false">TEXT(D307,"yyyy-mm")</f>
        <v>2026-01</v>
      </c>
      <c r="P307" s="13"/>
    </row>
    <row r="308" customFormat="false" ht="15" hidden="false" customHeight="false" outlineLevel="0" collapsed="false">
      <c r="A308" s="5" t="s">
        <v>28</v>
      </c>
      <c r="B308" s="5" t="n">
        <v>9357</v>
      </c>
      <c r="C308" s="5" t="s">
        <v>259</v>
      </c>
      <c r="D308" s="14" t="n">
        <v>46051</v>
      </c>
      <c r="E308" s="15" t="n">
        <v>-2.32</v>
      </c>
      <c r="F308" s="5" t="s">
        <v>282</v>
      </c>
      <c r="G308" s="5" t="s">
        <v>178</v>
      </c>
      <c r="H308" s="5" t="s">
        <v>189</v>
      </c>
      <c r="I308" s="5" t="s">
        <v>194</v>
      </c>
      <c r="J308" s="5" t="s">
        <v>197</v>
      </c>
      <c r="K308" s="16" t="n">
        <v>-70000</v>
      </c>
      <c r="L308" s="5" t="s">
        <v>260</v>
      </c>
      <c r="M308" s="17" t="n">
        <v>30120.4819277108</v>
      </c>
      <c r="N308" s="3" t="str">
        <f aca="false">IF(OR(K308="",M308=""),"",IF(C308="STATS_ONLY","stats",IF(ROUND(K308/M308,2)=E308,"OK","CHECK")))</f>
        <v>OK</v>
      </c>
      <c r="O308" s="3" t="str">
        <f aca="false">TEXT(D308,"yyyy-mm")</f>
        <v>2026-01</v>
      </c>
      <c r="P308" s="13"/>
    </row>
    <row r="309" customFormat="false" ht="15" hidden="false" customHeight="false" outlineLevel="0" collapsed="false">
      <c r="A309" s="5" t="s">
        <v>28</v>
      </c>
      <c r="B309" s="5" t="n">
        <v>9358</v>
      </c>
      <c r="C309" s="5" t="s">
        <v>259</v>
      </c>
      <c r="D309" s="14" t="n">
        <v>46051</v>
      </c>
      <c r="E309" s="15" t="n">
        <v>-1.83</v>
      </c>
      <c r="F309" s="5" t="s">
        <v>277</v>
      </c>
      <c r="G309" s="5" t="s">
        <v>178</v>
      </c>
      <c r="H309" s="5" t="s">
        <v>189</v>
      </c>
      <c r="I309" s="5" t="s">
        <v>194</v>
      </c>
      <c r="J309" s="5" t="s">
        <v>199</v>
      </c>
      <c r="K309" s="16" t="n">
        <v>-55000</v>
      </c>
      <c r="L309" s="5" t="s">
        <v>260</v>
      </c>
      <c r="M309" s="17" t="n">
        <v>30120.4819277108</v>
      </c>
      <c r="N309" s="3" t="str">
        <f aca="false">IF(OR(K309="",M309=""),"",IF(C309="STATS_ONLY","stats",IF(ROUND(K309/M309,2)=E309,"OK","CHECK")))</f>
        <v>OK</v>
      </c>
      <c r="O309" s="3" t="str">
        <f aca="false">TEXT(D309,"yyyy-mm")</f>
        <v>2026-01</v>
      </c>
      <c r="P309" s="13"/>
    </row>
    <row r="310" customFormat="false" ht="15" hidden="false" customHeight="false" outlineLevel="0" collapsed="false">
      <c r="A310" s="5" t="s">
        <v>28</v>
      </c>
      <c r="B310" s="5" t="n">
        <v>9359</v>
      </c>
      <c r="C310" s="5" t="s">
        <v>259</v>
      </c>
      <c r="D310" s="14" t="n">
        <v>46051</v>
      </c>
      <c r="E310" s="15" t="n">
        <v>-1.16</v>
      </c>
      <c r="F310" s="5" t="s">
        <v>263</v>
      </c>
      <c r="G310" s="5" t="s">
        <v>178</v>
      </c>
      <c r="H310" s="5" t="s">
        <v>189</v>
      </c>
      <c r="I310" s="5" t="s">
        <v>194</v>
      </c>
      <c r="J310" s="5" t="s">
        <v>181</v>
      </c>
      <c r="K310" s="16" t="n">
        <v>-35000</v>
      </c>
      <c r="L310" s="5" t="s">
        <v>260</v>
      </c>
      <c r="M310" s="17" t="n">
        <v>30120.4819277108</v>
      </c>
      <c r="N310" s="3" t="str">
        <f aca="false">IF(OR(K310="",M310=""),"",IF(C310="STATS_ONLY","stats",IF(ROUND(K310/M310,2)=E310,"OK","CHECK")))</f>
        <v>OK</v>
      </c>
      <c r="O310" s="3" t="str">
        <f aca="false">TEXT(D310,"yyyy-mm")</f>
        <v>2026-01</v>
      </c>
      <c r="P310" s="13"/>
    </row>
    <row r="311" customFormat="false" ht="15" hidden="false" customHeight="false" outlineLevel="0" collapsed="false">
      <c r="A311" s="5" t="s">
        <v>28</v>
      </c>
      <c r="B311" s="5" t="n">
        <v>9360</v>
      </c>
      <c r="C311" s="5" t="s">
        <v>259</v>
      </c>
      <c r="D311" s="14" t="n">
        <v>46051</v>
      </c>
      <c r="E311" s="15" t="n">
        <v>-2.32</v>
      </c>
      <c r="F311" s="5" t="s">
        <v>257</v>
      </c>
      <c r="G311" s="5" t="s">
        <v>178</v>
      </c>
      <c r="H311" s="5" t="s">
        <v>189</v>
      </c>
      <c r="I311" s="5" t="s">
        <v>194</v>
      </c>
      <c r="J311" s="5" t="s">
        <v>206</v>
      </c>
      <c r="K311" s="16" t="n">
        <v>-70000</v>
      </c>
      <c r="L311" s="5" t="s">
        <v>260</v>
      </c>
      <c r="M311" s="17" t="n">
        <v>30120.4819277108</v>
      </c>
      <c r="N311" s="3" t="str">
        <f aca="false">IF(OR(K311="",M311=""),"",IF(C311="STATS_ONLY","stats",IF(ROUND(K311/M311,2)=E311,"OK","CHECK")))</f>
        <v>OK</v>
      </c>
      <c r="O311" s="3" t="str">
        <f aca="false">TEXT(D311,"yyyy-mm")</f>
        <v>2026-01</v>
      </c>
      <c r="P311" s="13"/>
    </row>
    <row r="312" customFormat="false" ht="15" hidden="false" customHeight="false" outlineLevel="0" collapsed="false">
      <c r="A312" s="5" t="s">
        <v>28</v>
      </c>
      <c r="B312" s="5" t="n">
        <v>9361</v>
      </c>
      <c r="C312" s="5" t="s">
        <v>152</v>
      </c>
      <c r="D312" s="14" t="n">
        <v>46052</v>
      </c>
      <c r="E312" s="15" t="n">
        <v>-99.9</v>
      </c>
      <c r="F312" s="5" t="s">
        <v>287</v>
      </c>
      <c r="G312" s="5" t="s">
        <v>167</v>
      </c>
      <c r="H312" s="5" t="s">
        <v>167</v>
      </c>
      <c r="I312" s="5" t="s">
        <v>168</v>
      </c>
      <c r="J312" s="5"/>
      <c r="K312" s="16"/>
      <c r="L312" s="5"/>
      <c r="M312" s="17"/>
      <c r="N312" s="3" t="str">
        <f aca="false">IF(OR(K312="",M312=""),"",IF(C312="STATS_ONLY","stats",IF(ROUND(K312/M312,2)=E312,"OK","CHECK")))</f>
        <v/>
      </c>
      <c r="O312" s="3" t="str">
        <f aca="false">TEXT(D312,"yyyy-mm")</f>
        <v>2026-01</v>
      </c>
      <c r="P312" s="13" t="s">
        <v>169</v>
      </c>
    </row>
    <row r="313" customFormat="false" ht="15" hidden="false" customHeight="false" outlineLevel="0" collapsed="false">
      <c r="A313" s="5" t="s">
        <v>28</v>
      </c>
      <c r="B313" s="5" t="n">
        <v>9361</v>
      </c>
      <c r="C313" s="5" t="s">
        <v>259</v>
      </c>
      <c r="D313" s="14" t="n">
        <v>46052</v>
      </c>
      <c r="E313" s="15" t="n">
        <v>99.9</v>
      </c>
      <c r="F313" s="5" t="s">
        <v>287</v>
      </c>
      <c r="G313" s="5" t="s">
        <v>167</v>
      </c>
      <c r="H313" s="5" t="s">
        <v>167</v>
      </c>
      <c r="I313" s="5" t="s">
        <v>168</v>
      </c>
      <c r="J313" s="5" t="s">
        <v>203</v>
      </c>
      <c r="K313" s="16" t="n">
        <v>3000000</v>
      </c>
      <c r="L313" s="5" t="s">
        <v>260</v>
      </c>
      <c r="M313" s="18" t="n">
        <f aca="false">K313/E313</f>
        <v>30030.03003003</v>
      </c>
      <c r="N313" s="3" t="str">
        <f aca="false">IF(OR(K313="",M313=""),"",IF(C313="STATS_ONLY","stats",IF(ROUND(K313/M313,2)=E313,"OK","CHECK")))</f>
        <v>OK</v>
      </c>
      <c r="O313" s="3" t="str">
        <f aca="false">TEXT(D313,"yyyy-mm")</f>
        <v>2026-01</v>
      </c>
      <c r="P313" s="13" t="s">
        <v>170</v>
      </c>
    </row>
    <row r="314" customFormat="false" ht="15" hidden="false" customHeight="false" outlineLevel="0" collapsed="false">
      <c r="A314" s="5" t="s">
        <v>28</v>
      </c>
      <c r="B314" s="5" t="n">
        <v>9362</v>
      </c>
      <c r="C314" s="5" t="s">
        <v>259</v>
      </c>
      <c r="D314" s="14" t="n">
        <v>46052</v>
      </c>
      <c r="E314" s="15" t="n">
        <v>-1.67</v>
      </c>
      <c r="F314" s="5" t="s">
        <v>262</v>
      </c>
      <c r="G314" s="5" t="s">
        <v>178</v>
      </c>
      <c r="H314" s="5" t="s">
        <v>189</v>
      </c>
      <c r="I314" s="5" t="s">
        <v>194</v>
      </c>
      <c r="J314" s="5" t="s">
        <v>209</v>
      </c>
      <c r="K314" s="16" t="n">
        <v>-50000</v>
      </c>
      <c r="L314" s="5" t="s">
        <v>260</v>
      </c>
      <c r="M314" s="17" t="n">
        <v>30030.03003003</v>
      </c>
      <c r="N314" s="3" t="str">
        <f aca="false">IF(OR(K314="",M314=""),"",IF(C314="STATS_ONLY","stats",IF(ROUND(K314/M314,2)=E314,"OK","CHECK")))</f>
        <v>OK</v>
      </c>
      <c r="O314" s="3" t="str">
        <f aca="false">TEXT(D314,"yyyy-mm")</f>
        <v>2026-01</v>
      </c>
      <c r="P314" s="13"/>
    </row>
    <row r="315" customFormat="false" ht="15" hidden="false" customHeight="false" outlineLevel="0" collapsed="false">
      <c r="A315" s="5" t="s">
        <v>28</v>
      </c>
      <c r="B315" s="5" t="n">
        <v>9363</v>
      </c>
      <c r="C315" s="5" t="s">
        <v>259</v>
      </c>
      <c r="D315" s="14" t="n">
        <v>46052</v>
      </c>
      <c r="E315" s="15" t="n">
        <v>-1.33</v>
      </c>
      <c r="F315" s="5" t="s">
        <v>284</v>
      </c>
      <c r="G315" s="5" t="s">
        <v>178</v>
      </c>
      <c r="H315" s="5" t="s">
        <v>189</v>
      </c>
      <c r="I315" s="5" t="s">
        <v>194</v>
      </c>
      <c r="J315" s="5" t="s">
        <v>199</v>
      </c>
      <c r="K315" s="16" t="n">
        <v>-40000</v>
      </c>
      <c r="L315" s="5" t="s">
        <v>260</v>
      </c>
      <c r="M315" s="17" t="n">
        <v>30030.03003003</v>
      </c>
      <c r="N315" s="3" t="str">
        <f aca="false">IF(OR(K315="",M315=""),"",IF(C315="STATS_ONLY","stats",IF(ROUND(K315/M315,2)=E315,"OK","CHECK")))</f>
        <v>OK</v>
      </c>
      <c r="O315" s="3" t="str">
        <f aca="false">TEXT(D315,"yyyy-mm")</f>
        <v>2026-01</v>
      </c>
      <c r="P315" s="13"/>
    </row>
    <row r="316" customFormat="false" ht="15" hidden="false" customHeight="false" outlineLevel="0" collapsed="false">
      <c r="A316" s="5" t="s">
        <v>28</v>
      </c>
      <c r="B316" s="5" t="n">
        <v>9364</v>
      </c>
      <c r="C316" s="5" t="s">
        <v>259</v>
      </c>
      <c r="D316" s="14" t="n">
        <v>46052</v>
      </c>
      <c r="E316" s="15" t="n">
        <v>-1</v>
      </c>
      <c r="F316" s="5" t="s">
        <v>279</v>
      </c>
      <c r="G316" s="5" t="s">
        <v>178</v>
      </c>
      <c r="H316" s="5" t="s">
        <v>189</v>
      </c>
      <c r="I316" s="5" t="s">
        <v>194</v>
      </c>
      <c r="J316" s="5" t="s">
        <v>181</v>
      </c>
      <c r="K316" s="16" t="n">
        <v>-30000</v>
      </c>
      <c r="L316" s="5" t="s">
        <v>260</v>
      </c>
      <c r="M316" s="17" t="n">
        <v>30030.03003003</v>
      </c>
      <c r="N316" s="3" t="str">
        <f aca="false">IF(OR(K316="",M316=""),"",IF(C316="STATS_ONLY","stats",IF(ROUND(K316/M316,2)=E316,"OK","CHECK")))</f>
        <v>OK</v>
      </c>
      <c r="O316" s="3" t="str">
        <f aca="false">TEXT(D316,"yyyy-mm")</f>
        <v>2026-01</v>
      </c>
      <c r="P316" s="13"/>
    </row>
    <row r="317" customFormat="false" ht="15" hidden="false" customHeight="false" outlineLevel="0" collapsed="false">
      <c r="A317" s="5" t="s">
        <v>28</v>
      </c>
      <c r="B317" s="5" t="n">
        <v>9365</v>
      </c>
      <c r="C317" s="5" t="s">
        <v>259</v>
      </c>
      <c r="D317" s="14" t="n">
        <v>46052</v>
      </c>
      <c r="E317" s="15" t="n">
        <v>-0.67</v>
      </c>
      <c r="F317" s="5" t="s">
        <v>242</v>
      </c>
      <c r="G317" s="5" t="s">
        <v>178</v>
      </c>
      <c r="H317" s="5" t="s">
        <v>189</v>
      </c>
      <c r="I317" s="5" t="s">
        <v>194</v>
      </c>
      <c r="J317" s="5" t="s">
        <v>242</v>
      </c>
      <c r="K317" s="16" t="n">
        <v>-20000</v>
      </c>
      <c r="L317" s="5" t="s">
        <v>260</v>
      </c>
      <c r="M317" s="17" t="n">
        <v>30030.03003003</v>
      </c>
      <c r="N317" s="3" t="str">
        <f aca="false">IF(OR(K317="",M317=""),"",IF(C317="STATS_ONLY","stats",IF(ROUND(K317/M317,2)=E317,"OK","CHECK")))</f>
        <v>OK</v>
      </c>
      <c r="O317" s="3" t="str">
        <f aca="false">TEXT(D317,"yyyy-mm")</f>
        <v>2026-01</v>
      </c>
      <c r="P317" s="13"/>
    </row>
    <row r="318" customFormat="false" ht="15" hidden="false" customHeight="false" outlineLevel="0" collapsed="false">
      <c r="A318" s="5" t="s">
        <v>28</v>
      </c>
      <c r="B318" s="5" t="n">
        <v>9366</v>
      </c>
      <c r="C318" s="5" t="s">
        <v>259</v>
      </c>
      <c r="D318" s="14" t="n">
        <v>46053</v>
      </c>
      <c r="E318" s="15" t="n">
        <v>-2</v>
      </c>
      <c r="F318" s="5" t="s">
        <v>273</v>
      </c>
      <c r="G318" s="5" t="s">
        <v>178</v>
      </c>
      <c r="H318" s="5" t="s">
        <v>189</v>
      </c>
      <c r="I318" s="5" t="s">
        <v>194</v>
      </c>
      <c r="J318" s="5" t="s">
        <v>195</v>
      </c>
      <c r="K318" s="16" t="n">
        <v>-60000</v>
      </c>
      <c r="L318" s="5" t="s">
        <v>260</v>
      </c>
      <c r="M318" s="17" t="n">
        <v>30030.03003003</v>
      </c>
      <c r="N318" s="3" t="str">
        <f aca="false">IF(OR(K318="",M318=""),"",IF(C318="STATS_ONLY","stats",IF(ROUND(K318/M318,2)=E318,"OK","CHECK")))</f>
        <v>OK</v>
      </c>
      <c r="O318" s="3" t="str">
        <f aca="false">TEXT(D318,"yyyy-mm")</f>
        <v>2026-01</v>
      </c>
      <c r="P318" s="13"/>
    </row>
    <row r="319" customFormat="false" ht="15" hidden="false" customHeight="false" outlineLevel="0" collapsed="false">
      <c r="A319" s="5" t="s">
        <v>28</v>
      </c>
      <c r="B319" s="5" t="n">
        <v>9367</v>
      </c>
      <c r="C319" s="5" t="s">
        <v>259</v>
      </c>
      <c r="D319" s="14" t="n">
        <v>46053</v>
      </c>
      <c r="E319" s="15" t="n">
        <v>-2.66</v>
      </c>
      <c r="F319" s="5" t="s">
        <v>280</v>
      </c>
      <c r="G319" s="5" t="s">
        <v>178</v>
      </c>
      <c r="H319" s="5" t="s">
        <v>189</v>
      </c>
      <c r="I319" s="5" t="s">
        <v>194</v>
      </c>
      <c r="J319" s="5" t="s">
        <v>209</v>
      </c>
      <c r="K319" s="16" t="n">
        <v>-80000</v>
      </c>
      <c r="L319" s="5" t="s">
        <v>260</v>
      </c>
      <c r="M319" s="17" t="n">
        <v>30030.03003003</v>
      </c>
      <c r="N319" s="3" t="str">
        <f aca="false">IF(OR(K319="",M319=""),"",IF(C319="STATS_ONLY","stats",IF(ROUND(K319/M319,2)=E319,"OK","CHECK")))</f>
        <v>OK</v>
      </c>
      <c r="O319" s="3" t="str">
        <f aca="false">TEXT(D319,"yyyy-mm")</f>
        <v>2026-01</v>
      </c>
      <c r="P319" s="13"/>
    </row>
    <row r="320" customFormat="false" ht="15" hidden="false" customHeight="false" outlineLevel="0" collapsed="false">
      <c r="A320" s="5" t="s">
        <v>28</v>
      </c>
      <c r="B320" s="5" t="n">
        <v>9368</v>
      </c>
      <c r="C320" s="5" t="s">
        <v>259</v>
      </c>
      <c r="D320" s="14" t="n">
        <v>46054</v>
      </c>
      <c r="E320" s="15" t="n">
        <v>-1.67</v>
      </c>
      <c r="F320" s="5" t="s">
        <v>277</v>
      </c>
      <c r="G320" s="5" t="s">
        <v>178</v>
      </c>
      <c r="H320" s="5" t="s">
        <v>189</v>
      </c>
      <c r="I320" s="5" t="s">
        <v>194</v>
      </c>
      <c r="J320" s="5" t="s">
        <v>199</v>
      </c>
      <c r="K320" s="16" t="n">
        <v>-50000</v>
      </c>
      <c r="L320" s="5" t="s">
        <v>260</v>
      </c>
      <c r="M320" s="17" t="n">
        <v>30030.03003003</v>
      </c>
      <c r="N320" s="3" t="str">
        <f aca="false">IF(OR(K320="",M320=""),"",IF(C320="STATS_ONLY","stats",IF(ROUND(K320/M320,2)=E320,"OK","CHECK")))</f>
        <v>OK</v>
      </c>
      <c r="O320" s="3" t="str">
        <f aca="false">TEXT(D320,"yyyy-mm")</f>
        <v>2026-02</v>
      </c>
      <c r="P320" s="13"/>
    </row>
    <row r="321" customFormat="false" ht="15" hidden="false" customHeight="false" outlineLevel="0" collapsed="false">
      <c r="A321" s="5" t="s">
        <v>28</v>
      </c>
      <c r="B321" s="5" t="n">
        <v>9369</v>
      </c>
      <c r="C321" s="5" t="s">
        <v>259</v>
      </c>
      <c r="D321" s="14" t="n">
        <v>46054</v>
      </c>
      <c r="E321" s="15" t="n">
        <v>-5.83</v>
      </c>
      <c r="F321" s="5" t="s">
        <v>236</v>
      </c>
      <c r="G321" s="5" t="s">
        <v>178</v>
      </c>
      <c r="H321" s="5" t="s">
        <v>189</v>
      </c>
      <c r="I321" s="5" t="s">
        <v>194</v>
      </c>
      <c r="J321" s="5" t="s">
        <v>237</v>
      </c>
      <c r="K321" s="16" t="n">
        <v>-175000</v>
      </c>
      <c r="L321" s="5" t="s">
        <v>260</v>
      </c>
      <c r="M321" s="17" t="n">
        <v>30030.03003003</v>
      </c>
      <c r="N321" s="3" t="str">
        <f aca="false">IF(OR(K321="",M321=""),"",IF(C321="STATS_ONLY","stats",IF(ROUND(K321/M321,2)=E321,"OK","CHECK")))</f>
        <v>OK</v>
      </c>
      <c r="O321" s="3" t="str">
        <f aca="false">TEXT(D321,"yyyy-mm")</f>
        <v>2026-02</v>
      </c>
      <c r="P321" s="13"/>
    </row>
    <row r="322" customFormat="false" ht="15" hidden="false" customHeight="false" outlineLevel="0" collapsed="false">
      <c r="A322" s="5" t="s">
        <v>28</v>
      </c>
      <c r="B322" s="5" t="n">
        <v>9370</v>
      </c>
      <c r="C322" s="5" t="s">
        <v>259</v>
      </c>
      <c r="D322" s="14" t="n">
        <v>46054</v>
      </c>
      <c r="E322" s="15" t="n">
        <v>-1.17</v>
      </c>
      <c r="F322" s="5" t="s">
        <v>242</v>
      </c>
      <c r="G322" s="5" t="s">
        <v>178</v>
      </c>
      <c r="H322" s="5" t="s">
        <v>189</v>
      </c>
      <c r="I322" s="5" t="s">
        <v>194</v>
      </c>
      <c r="J322" s="5" t="s">
        <v>242</v>
      </c>
      <c r="K322" s="16" t="n">
        <v>-35000</v>
      </c>
      <c r="L322" s="5" t="s">
        <v>260</v>
      </c>
      <c r="M322" s="17" t="n">
        <v>30030.03003003</v>
      </c>
      <c r="N322" s="3" t="str">
        <f aca="false">IF(OR(K322="",M322=""),"",IF(C322="STATS_ONLY","stats",IF(ROUND(K322/M322,2)=E322,"OK","CHECK")))</f>
        <v>OK</v>
      </c>
      <c r="O322" s="3" t="str">
        <f aca="false">TEXT(D322,"yyyy-mm")</f>
        <v>2026-02</v>
      </c>
      <c r="P322" s="13"/>
    </row>
    <row r="323" customFormat="false" ht="15" hidden="false" customHeight="false" outlineLevel="0" collapsed="false">
      <c r="A323" s="5" t="s">
        <v>28</v>
      </c>
      <c r="B323" s="5" t="n">
        <v>9612</v>
      </c>
      <c r="C323" s="5" t="s">
        <v>152</v>
      </c>
      <c r="D323" s="14" t="n">
        <v>46054</v>
      </c>
      <c r="E323" s="15" t="n">
        <v>-15</v>
      </c>
      <c r="F323" s="5" t="s">
        <v>162</v>
      </c>
      <c r="G323" s="5" t="s">
        <v>163</v>
      </c>
      <c r="H323" s="5" t="s">
        <v>164</v>
      </c>
      <c r="I323" s="5" t="s">
        <v>165</v>
      </c>
      <c r="J323" s="5"/>
      <c r="K323" s="16"/>
      <c r="L323" s="5"/>
      <c r="M323" s="17"/>
      <c r="N323" s="3" t="str">
        <f aca="false">IF(OR(K323="",M323=""),"",IF(C323="STATS_ONLY","stats",IF(ROUND(K323/M323,2)=E323,"OK","CHECK")))</f>
        <v/>
      </c>
      <c r="O323" s="3" t="str">
        <f aca="false">TEXT(D323,"yyyy-mm")</f>
        <v>2026-02</v>
      </c>
      <c r="P323" s="13"/>
    </row>
    <row r="324" customFormat="false" ht="15" hidden="false" customHeight="false" outlineLevel="0" collapsed="false">
      <c r="A324" s="5" t="s">
        <v>28</v>
      </c>
      <c r="B324" s="5" t="n">
        <v>9613</v>
      </c>
      <c r="C324" s="5" t="s">
        <v>152</v>
      </c>
      <c r="D324" s="14" t="n">
        <v>46054</v>
      </c>
      <c r="E324" s="15" t="n">
        <v>-100</v>
      </c>
      <c r="F324" s="5" t="s">
        <v>166</v>
      </c>
      <c r="G324" s="5" t="s">
        <v>167</v>
      </c>
      <c r="H324" s="5" t="s">
        <v>167</v>
      </c>
      <c r="I324" s="5" t="s">
        <v>168</v>
      </c>
      <c r="J324" s="5"/>
      <c r="K324" s="16"/>
      <c r="L324" s="5"/>
      <c r="M324" s="17"/>
      <c r="N324" s="3" t="str">
        <f aca="false">IF(OR(K324="",M324=""),"",IF(C324="STATS_ONLY","stats",IF(ROUND(K324/M324,2)=E324,"OK","CHECK")))</f>
        <v/>
      </c>
      <c r="O324" s="3" t="str">
        <f aca="false">TEXT(D324,"yyyy-mm")</f>
        <v>2026-02</v>
      </c>
      <c r="P324" s="13" t="s">
        <v>169</v>
      </c>
    </row>
    <row r="325" customFormat="false" ht="15" hidden="false" customHeight="false" outlineLevel="0" collapsed="false">
      <c r="A325" s="5" t="s">
        <v>28</v>
      </c>
      <c r="B325" s="5" t="n">
        <v>9613</v>
      </c>
      <c r="C325" s="5" t="s">
        <v>158</v>
      </c>
      <c r="D325" s="14" t="n">
        <v>46054</v>
      </c>
      <c r="E325" s="15" t="n">
        <v>100</v>
      </c>
      <c r="F325" s="5" t="s">
        <v>166</v>
      </c>
      <c r="G325" s="5" t="s">
        <v>167</v>
      </c>
      <c r="H325" s="5" t="s">
        <v>167</v>
      </c>
      <c r="I325" s="5" t="s">
        <v>168</v>
      </c>
      <c r="J325" s="5"/>
      <c r="K325" s="16"/>
      <c r="L325" s="5"/>
      <c r="M325" s="17"/>
      <c r="N325" s="3" t="str">
        <f aca="false">IF(OR(K325="",M325=""),"",IF(C325="STATS_ONLY","stats",IF(ROUND(K325/M325,2)=E325,"OK","CHECK")))</f>
        <v/>
      </c>
      <c r="O325" s="3" t="str">
        <f aca="false">TEXT(D325,"yyyy-mm")</f>
        <v>2026-02</v>
      </c>
      <c r="P325" s="13" t="s">
        <v>170</v>
      </c>
    </row>
    <row r="326" customFormat="false" ht="15" hidden="false" customHeight="false" outlineLevel="0" collapsed="false">
      <c r="A326" s="5" t="s">
        <v>28</v>
      </c>
      <c r="B326" s="5" t="n">
        <v>9371</v>
      </c>
      <c r="C326" s="5" t="s">
        <v>259</v>
      </c>
      <c r="D326" s="14" t="n">
        <v>46055</v>
      </c>
      <c r="E326" s="15" t="n">
        <v>-1.33</v>
      </c>
      <c r="F326" s="5" t="s">
        <v>280</v>
      </c>
      <c r="G326" s="5" t="s">
        <v>178</v>
      </c>
      <c r="H326" s="5" t="s">
        <v>189</v>
      </c>
      <c r="I326" s="5" t="s">
        <v>194</v>
      </c>
      <c r="J326" s="5" t="s">
        <v>209</v>
      </c>
      <c r="K326" s="16" t="n">
        <v>-40000</v>
      </c>
      <c r="L326" s="5" t="s">
        <v>260</v>
      </c>
      <c r="M326" s="17" t="n">
        <v>30030.03003003</v>
      </c>
      <c r="N326" s="3" t="str">
        <f aca="false">IF(OR(K326="",M326=""),"",IF(C326="STATS_ONLY","stats",IF(ROUND(K326/M326,2)=E326,"OK","CHECK")))</f>
        <v>OK</v>
      </c>
      <c r="O326" s="3" t="str">
        <f aca="false">TEXT(D326,"yyyy-mm")</f>
        <v>2026-02</v>
      </c>
      <c r="P326" s="13"/>
    </row>
    <row r="327" customFormat="false" ht="15" hidden="false" customHeight="false" outlineLevel="0" collapsed="false">
      <c r="A327" s="5" t="s">
        <v>28</v>
      </c>
      <c r="B327" s="5" t="n">
        <v>9372</v>
      </c>
      <c r="C327" s="5" t="s">
        <v>259</v>
      </c>
      <c r="D327" s="14" t="n">
        <v>46055</v>
      </c>
      <c r="E327" s="15" t="n">
        <v>-1.17</v>
      </c>
      <c r="F327" s="5" t="s">
        <v>263</v>
      </c>
      <c r="G327" s="5" t="s">
        <v>178</v>
      </c>
      <c r="H327" s="5" t="s">
        <v>189</v>
      </c>
      <c r="I327" s="5" t="s">
        <v>194</v>
      </c>
      <c r="J327" s="5" t="s">
        <v>181</v>
      </c>
      <c r="K327" s="16" t="n">
        <v>-35000</v>
      </c>
      <c r="L327" s="5" t="s">
        <v>260</v>
      </c>
      <c r="M327" s="17" t="n">
        <v>30030.03003003</v>
      </c>
      <c r="N327" s="3" t="str">
        <f aca="false">IF(OR(K327="",M327=""),"",IF(C327="STATS_ONLY","stats",IF(ROUND(K327/M327,2)=E327,"OK","CHECK")))</f>
        <v>OK</v>
      </c>
      <c r="O327" s="3" t="str">
        <f aca="false">TEXT(D327,"yyyy-mm")</f>
        <v>2026-02</v>
      </c>
      <c r="P327" s="13"/>
    </row>
    <row r="328" customFormat="false" ht="15" hidden="false" customHeight="false" outlineLevel="0" collapsed="false">
      <c r="A328" s="5" t="s">
        <v>28</v>
      </c>
      <c r="B328" s="5" t="n">
        <v>9373</v>
      </c>
      <c r="C328" s="5" t="s">
        <v>259</v>
      </c>
      <c r="D328" s="14" t="n">
        <v>46056</v>
      </c>
      <c r="E328" s="15" t="n">
        <v>-1.5</v>
      </c>
      <c r="F328" s="5" t="s">
        <v>273</v>
      </c>
      <c r="G328" s="5" t="s">
        <v>178</v>
      </c>
      <c r="H328" s="5" t="s">
        <v>189</v>
      </c>
      <c r="I328" s="5" t="s">
        <v>194</v>
      </c>
      <c r="J328" s="5" t="s">
        <v>195</v>
      </c>
      <c r="K328" s="16" t="n">
        <v>-45000</v>
      </c>
      <c r="L328" s="5" t="s">
        <v>260</v>
      </c>
      <c r="M328" s="17" t="n">
        <v>30030.03003003</v>
      </c>
      <c r="N328" s="3" t="str">
        <f aca="false">IF(OR(K328="",M328=""),"",IF(C328="STATS_ONLY","stats",IF(ROUND(K328/M328,2)=E328,"OK","CHECK")))</f>
        <v>OK</v>
      </c>
      <c r="O328" s="3" t="str">
        <f aca="false">TEXT(D328,"yyyy-mm")</f>
        <v>2026-02</v>
      </c>
      <c r="P328" s="13"/>
    </row>
    <row r="329" customFormat="false" ht="15" hidden="false" customHeight="false" outlineLevel="0" collapsed="false">
      <c r="A329" s="5" t="s">
        <v>28</v>
      </c>
      <c r="B329" s="5" t="n">
        <v>9374</v>
      </c>
      <c r="C329" s="5" t="s">
        <v>259</v>
      </c>
      <c r="D329" s="14" t="n">
        <v>46056</v>
      </c>
      <c r="E329" s="15" t="n">
        <v>-2.5</v>
      </c>
      <c r="F329" s="5" t="s">
        <v>280</v>
      </c>
      <c r="G329" s="5" t="s">
        <v>178</v>
      </c>
      <c r="H329" s="5" t="s">
        <v>189</v>
      </c>
      <c r="I329" s="5" t="s">
        <v>194</v>
      </c>
      <c r="J329" s="5" t="s">
        <v>209</v>
      </c>
      <c r="K329" s="16" t="n">
        <v>-75000</v>
      </c>
      <c r="L329" s="5" t="s">
        <v>260</v>
      </c>
      <c r="M329" s="17" t="n">
        <v>30030.03003003</v>
      </c>
      <c r="N329" s="3" t="str">
        <f aca="false">IF(OR(K329="",M329=""),"",IF(C329="STATS_ONLY","stats",IF(ROUND(K329/M329,2)=E329,"OK","CHECK")))</f>
        <v>OK</v>
      </c>
      <c r="O329" s="3" t="str">
        <f aca="false">TEXT(D329,"yyyy-mm")</f>
        <v>2026-02</v>
      </c>
      <c r="P329" s="13"/>
    </row>
    <row r="330" customFormat="false" ht="15" hidden="false" customHeight="false" outlineLevel="0" collapsed="false">
      <c r="A330" s="5" t="s">
        <v>28</v>
      </c>
      <c r="B330" s="5" t="n">
        <v>9375</v>
      </c>
      <c r="C330" s="5" t="s">
        <v>259</v>
      </c>
      <c r="D330" s="14" t="n">
        <v>46056</v>
      </c>
      <c r="E330" s="15" t="n">
        <v>-2.33</v>
      </c>
      <c r="F330" s="5" t="s">
        <v>272</v>
      </c>
      <c r="G330" s="5" t="s">
        <v>178</v>
      </c>
      <c r="H330" s="5" t="s">
        <v>189</v>
      </c>
      <c r="I330" s="5" t="s">
        <v>194</v>
      </c>
      <c r="J330" s="5" t="s">
        <v>197</v>
      </c>
      <c r="K330" s="16" t="n">
        <v>-70000</v>
      </c>
      <c r="L330" s="5" t="s">
        <v>260</v>
      </c>
      <c r="M330" s="17" t="n">
        <v>30030.03003003</v>
      </c>
      <c r="N330" s="3" t="str">
        <f aca="false">IF(OR(K330="",M330=""),"",IF(C330="STATS_ONLY","stats",IF(ROUND(K330/M330,2)=E330,"OK","CHECK")))</f>
        <v>OK</v>
      </c>
      <c r="O330" s="3" t="str">
        <f aca="false">TEXT(D330,"yyyy-mm")</f>
        <v>2026-02</v>
      </c>
      <c r="P330" s="13"/>
    </row>
    <row r="331" customFormat="false" ht="15" hidden="false" customHeight="false" outlineLevel="0" collapsed="false">
      <c r="A331" s="5" t="s">
        <v>28</v>
      </c>
      <c r="B331" s="5" t="n">
        <v>9376</v>
      </c>
      <c r="C331" s="5" t="s">
        <v>259</v>
      </c>
      <c r="D331" s="14" t="n">
        <v>46056</v>
      </c>
      <c r="E331" s="15" t="n">
        <v>-1</v>
      </c>
      <c r="F331" s="5" t="s">
        <v>270</v>
      </c>
      <c r="G331" s="5" t="s">
        <v>178</v>
      </c>
      <c r="H331" s="5" t="s">
        <v>189</v>
      </c>
      <c r="I331" s="5" t="s">
        <v>194</v>
      </c>
      <c r="J331" s="5" t="s">
        <v>199</v>
      </c>
      <c r="K331" s="16" t="n">
        <v>-30000</v>
      </c>
      <c r="L331" s="5" t="s">
        <v>260</v>
      </c>
      <c r="M331" s="17" t="n">
        <v>30030.03003003</v>
      </c>
      <c r="N331" s="3" t="str">
        <f aca="false">IF(OR(K331="",M331=""),"",IF(C331="STATS_ONLY","stats",IF(ROUND(K331/M331,2)=E331,"OK","CHECK")))</f>
        <v>OK</v>
      </c>
      <c r="O331" s="3" t="str">
        <f aca="false">TEXT(D331,"yyyy-mm")</f>
        <v>2026-02</v>
      </c>
      <c r="P331" s="13"/>
    </row>
    <row r="332" customFormat="false" ht="15" hidden="false" customHeight="false" outlineLevel="0" collapsed="false">
      <c r="A332" s="5" t="s">
        <v>28</v>
      </c>
      <c r="B332" s="5" t="n">
        <v>9377</v>
      </c>
      <c r="C332" s="5" t="s">
        <v>259</v>
      </c>
      <c r="D332" s="14" t="n">
        <v>46056</v>
      </c>
      <c r="E332" s="15" t="n">
        <v>-1.67</v>
      </c>
      <c r="F332" s="5" t="s">
        <v>251</v>
      </c>
      <c r="G332" s="5" t="s">
        <v>178</v>
      </c>
      <c r="H332" s="5" t="s">
        <v>189</v>
      </c>
      <c r="I332" s="5" t="s">
        <v>194</v>
      </c>
      <c r="J332" s="5" t="s">
        <v>252</v>
      </c>
      <c r="K332" s="16" t="n">
        <v>-50000</v>
      </c>
      <c r="L332" s="5" t="s">
        <v>260</v>
      </c>
      <c r="M332" s="17" t="n">
        <v>30030.03003003</v>
      </c>
      <c r="N332" s="3" t="str">
        <f aca="false">IF(OR(K332="",M332=""),"",IF(C332="STATS_ONLY","stats",IF(ROUND(K332/M332,2)=E332,"OK","CHECK")))</f>
        <v>OK</v>
      </c>
      <c r="O332" s="3" t="str">
        <f aca="false">TEXT(D332,"yyyy-mm")</f>
        <v>2026-02</v>
      </c>
      <c r="P332" s="13"/>
    </row>
    <row r="333" customFormat="false" ht="15" hidden="false" customHeight="false" outlineLevel="0" collapsed="false">
      <c r="A333" s="5" t="s">
        <v>28</v>
      </c>
      <c r="B333" s="5" t="n">
        <v>9378</v>
      </c>
      <c r="C333" s="5" t="s">
        <v>259</v>
      </c>
      <c r="D333" s="14" t="n">
        <v>46057</v>
      </c>
      <c r="E333" s="15" t="n">
        <v>-4</v>
      </c>
      <c r="F333" s="5" t="s">
        <v>282</v>
      </c>
      <c r="G333" s="5" t="s">
        <v>178</v>
      </c>
      <c r="H333" s="5" t="s">
        <v>189</v>
      </c>
      <c r="I333" s="5" t="s">
        <v>194</v>
      </c>
      <c r="J333" s="5" t="s">
        <v>197</v>
      </c>
      <c r="K333" s="16" t="n">
        <v>-120000</v>
      </c>
      <c r="L333" s="5" t="s">
        <v>260</v>
      </c>
      <c r="M333" s="17" t="n">
        <v>30030.03003003</v>
      </c>
      <c r="N333" s="3" t="str">
        <f aca="false">IF(OR(K333="",M333=""),"",IF(C333="STATS_ONLY","stats",IF(ROUND(K333/M333,2)=E333,"OK","CHECK")))</f>
        <v>OK</v>
      </c>
      <c r="O333" s="3" t="str">
        <f aca="false">TEXT(D333,"yyyy-mm")</f>
        <v>2026-02</v>
      </c>
      <c r="P333" s="13"/>
    </row>
    <row r="334" customFormat="false" ht="15" hidden="false" customHeight="false" outlineLevel="0" collapsed="false">
      <c r="A334" s="5" t="s">
        <v>28</v>
      </c>
      <c r="B334" s="5" t="n">
        <v>9379</v>
      </c>
      <c r="C334" s="5" t="s">
        <v>259</v>
      </c>
      <c r="D334" s="14" t="n">
        <v>46057</v>
      </c>
      <c r="E334" s="15" t="n">
        <v>-1.5</v>
      </c>
      <c r="F334" s="5" t="s">
        <v>284</v>
      </c>
      <c r="G334" s="5" t="s">
        <v>178</v>
      </c>
      <c r="H334" s="5" t="s">
        <v>189</v>
      </c>
      <c r="I334" s="5" t="s">
        <v>194</v>
      </c>
      <c r="J334" s="5" t="s">
        <v>199</v>
      </c>
      <c r="K334" s="16" t="n">
        <v>-45000</v>
      </c>
      <c r="L334" s="5" t="s">
        <v>260</v>
      </c>
      <c r="M334" s="17" t="n">
        <v>30030.03003003</v>
      </c>
      <c r="N334" s="3" t="str">
        <f aca="false">IF(OR(K334="",M334=""),"",IF(C334="STATS_ONLY","stats",IF(ROUND(K334/M334,2)=E334,"OK","CHECK")))</f>
        <v>OK</v>
      </c>
      <c r="O334" s="3" t="str">
        <f aca="false">TEXT(D334,"yyyy-mm")</f>
        <v>2026-02</v>
      </c>
      <c r="P334" s="13"/>
    </row>
    <row r="335" customFormat="false" ht="15" hidden="false" customHeight="false" outlineLevel="0" collapsed="false">
      <c r="A335" s="5" t="s">
        <v>28</v>
      </c>
      <c r="B335" s="5" t="n">
        <v>9380</v>
      </c>
      <c r="C335" s="5" t="s">
        <v>259</v>
      </c>
      <c r="D335" s="14" t="n">
        <v>46057</v>
      </c>
      <c r="E335" s="15" t="n">
        <v>-1</v>
      </c>
      <c r="F335" s="5" t="s">
        <v>271</v>
      </c>
      <c r="G335" s="5" t="s">
        <v>178</v>
      </c>
      <c r="H335" s="5" t="s">
        <v>189</v>
      </c>
      <c r="I335" s="5" t="s">
        <v>194</v>
      </c>
      <c r="J335" s="5" t="s">
        <v>181</v>
      </c>
      <c r="K335" s="16" t="n">
        <v>-30000</v>
      </c>
      <c r="L335" s="5" t="s">
        <v>260</v>
      </c>
      <c r="M335" s="17" t="n">
        <v>30030.03003003</v>
      </c>
      <c r="N335" s="3" t="str">
        <f aca="false">IF(OR(K335="",M335=""),"",IF(C335="STATS_ONLY","stats",IF(ROUND(K335/M335,2)=E335,"OK","CHECK")))</f>
        <v>OK</v>
      </c>
      <c r="O335" s="3" t="str">
        <f aca="false">TEXT(D335,"yyyy-mm")</f>
        <v>2026-02</v>
      </c>
      <c r="P335" s="13"/>
    </row>
    <row r="336" customFormat="false" ht="15" hidden="false" customHeight="false" outlineLevel="0" collapsed="false">
      <c r="A336" s="5" t="s">
        <v>28</v>
      </c>
      <c r="B336" s="5" t="n">
        <v>9381</v>
      </c>
      <c r="C336" s="5" t="s">
        <v>259</v>
      </c>
      <c r="D336" s="14" t="n">
        <v>46058</v>
      </c>
      <c r="E336" s="15" t="n">
        <v>-2</v>
      </c>
      <c r="F336" s="5" t="s">
        <v>286</v>
      </c>
      <c r="G336" s="5" t="s">
        <v>178</v>
      </c>
      <c r="H336" s="5" t="s">
        <v>189</v>
      </c>
      <c r="I336" s="5" t="s">
        <v>194</v>
      </c>
      <c r="J336" s="5" t="s">
        <v>209</v>
      </c>
      <c r="K336" s="16" t="n">
        <v>-60000</v>
      </c>
      <c r="L336" s="5" t="s">
        <v>260</v>
      </c>
      <c r="M336" s="17" t="n">
        <v>30030.03003003</v>
      </c>
      <c r="N336" s="3" t="str">
        <f aca="false">IF(OR(K336="",M336=""),"",IF(C336="STATS_ONLY","stats",IF(ROUND(K336/M336,2)=E336,"OK","CHECK")))</f>
        <v>OK</v>
      </c>
      <c r="O336" s="3" t="str">
        <f aca="false">TEXT(D336,"yyyy-mm")</f>
        <v>2026-02</v>
      </c>
      <c r="P336" s="13"/>
    </row>
    <row r="337" customFormat="false" ht="15" hidden="false" customHeight="false" outlineLevel="0" collapsed="false">
      <c r="A337" s="5" t="s">
        <v>28</v>
      </c>
      <c r="B337" s="5" t="n">
        <v>9382</v>
      </c>
      <c r="C337" s="5" t="s">
        <v>259</v>
      </c>
      <c r="D337" s="14" t="n">
        <v>46058</v>
      </c>
      <c r="E337" s="15" t="n">
        <v>-3.33</v>
      </c>
      <c r="F337" s="5" t="s">
        <v>281</v>
      </c>
      <c r="G337" s="5" t="s">
        <v>178</v>
      </c>
      <c r="H337" s="5" t="s">
        <v>189</v>
      </c>
      <c r="I337" s="5" t="s">
        <v>194</v>
      </c>
      <c r="J337" s="5" t="s">
        <v>197</v>
      </c>
      <c r="K337" s="16" t="n">
        <v>-100000</v>
      </c>
      <c r="L337" s="5" t="s">
        <v>260</v>
      </c>
      <c r="M337" s="17" t="n">
        <v>30030.03003003</v>
      </c>
      <c r="N337" s="3" t="str">
        <f aca="false">IF(OR(K337="",M337=""),"",IF(C337="STATS_ONLY","stats",IF(ROUND(K337/M337,2)=E337,"OK","CHECK")))</f>
        <v>OK</v>
      </c>
      <c r="O337" s="3" t="str">
        <f aca="false">TEXT(D337,"yyyy-mm")</f>
        <v>2026-02</v>
      </c>
      <c r="P337" s="13"/>
    </row>
    <row r="338" customFormat="false" ht="15" hidden="false" customHeight="false" outlineLevel="0" collapsed="false">
      <c r="A338" s="5" t="s">
        <v>28</v>
      </c>
      <c r="B338" s="5" t="n">
        <v>9614</v>
      </c>
      <c r="C338" s="5" t="s">
        <v>152</v>
      </c>
      <c r="D338" s="14" t="n">
        <v>46058</v>
      </c>
      <c r="E338" s="15" t="n">
        <v>-45</v>
      </c>
      <c r="F338" s="5" t="s">
        <v>200</v>
      </c>
      <c r="G338" s="5" t="s">
        <v>163</v>
      </c>
      <c r="H338" s="5" t="s">
        <v>164</v>
      </c>
      <c r="I338" s="5" t="s">
        <v>201</v>
      </c>
      <c r="J338" s="5"/>
      <c r="K338" s="16"/>
      <c r="L338" s="5"/>
      <c r="M338" s="17"/>
      <c r="N338" s="3" t="str">
        <f aca="false">IF(OR(K338="",M338=""),"",IF(C338="STATS_ONLY","stats",IF(ROUND(K338/M338,2)=E338,"OK","CHECK")))</f>
        <v/>
      </c>
      <c r="O338" s="3" t="str">
        <f aca="false">TEXT(D338,"yyyy-mm")</f>
        <v>2026-02</v>
      </c>
      <c r="P338" s="13"/>
    </row>
    <row r="339" customFormat="false" ht="15" hidden="false" customHeight="false" outlineLevel="0" collapsed="false">
      <c r="A339" s="5" t="s">
        <v>28</v>
      </c>
      <c r="B339" s="5" t="n">
        <v>9383</v>
      </c>
      <c r="C339" s="5" t="s">
        <v>259</v>
      </c>
      <c r="D339" s="14" t="n">
        <v>46059</v>
      </c>
      <c r="E339" s="15" t="n">
        <v>-1.67</v>
      </c>
      <c r="F339" s="5" t="s">
        <v>278</v>
      </c>
      <c r="G339" s="5" t="s">
        <v>178</v>
      </c>
      <c r="H339" s="5" t="s">
        <v>189</v>
      </c>
      <c r="I339" s="5" t="s">
        <v>194</v>
      </c>
      <c r="J339" s="5" t="s">
        <v>195</v>
      </c>
      <c r="K339" s="16" t="n">
        <v>-50000</v>
      </c>
      <c r="L339" s="5" t="s">
        <v>260</v>
      </c>
      <c r="M339" s="17" t="n">
        <v>30030.03003003</v>
      </c>
      <c r="N339" s="3" t="str">
        <f aca="false">IF(OR(K339="",M339=""),"",IF(C339="STATS_ONLY","stats",IF(ROUND(K339/M339,2)=E339,"OK","CHECK")))</f>
        <v>OK</v>
      </c>
      <c r="O339" s="3" t="str">
        <f aca="false">TEXT(D339,"yyyy-mm")</f>
        <v>2026-02</v>
      </c>
      <c r="P339" s="13"/>
    </row>
    <row r="340" customFormat="false" ht="15" hidden="false" customHeight="false" outlineLevel="0" collapsed="false">
      <c r="A340" s="5" t="s">
        <v>28</v>
      </c>
      <c r="B340" s="5" t="n">
        <v>9384</v>
      </c>
      <c r="C340" s="5" t="s">
        <v>259</v>
      </c>
      <c r="D340" s="14" t="n">
        <v>46059</v>
      </c>
      <c r="E340" s="15" t="n">
        <v>-2.33</v>
      </c>
      <c r="F340" s="5" t="s">
        <v>280</v>
      </c>
      <c r="G340" s="5" t="s">
        <v>178</v>
      </c>
      <c r="H340" s="5" t="s">
        <v>189</v>
      </c>
      <c r="I340" s="5" t="s">
        <v>194</v>
      </c>
      <c r="J340" s="5" t="s">
        <v>209</v>
      </c>
      <c r="K340" s="16" t="n">
        <v>-70000</v>
      </c>
      <c r="L340" s="5" t="s">
        <v>260</v>
      </c>
      <c r="M340" s="17" t="n">
        <v>30030.03003003</v>
      </c>
      <c r="N340" s="3" t="str">
        <f aca="false">IF(OR(K340="",M340=""),"",IF(C340="STATS_ONLY","stats",IF(ROUND(K340/M340,2)=E340,"OK","CHECK")))</f>
        <v>OK</v>
      </c>
      <c r="O340" s="3" t="str">
        <f aca="false">TEXT(D340,"yyyy-mm")</f>
        <v>2026-02</v>
      </c>
      <c r="P340" s="13"/>
    </row>
    <row r="341" customFormat="false" ht="15" hidden="false" customHeight="false" outlineLevel="0" collapsed="false">
      <c r="A341" s="5" t="s">
        <v>28</v>
      </c>
      <c r="B341" s="5" t="n">
        <v>9385</v>
      </c>
      <c r="C341" s="5" t="s">
        <v>259</v>
      </c>
      <c r="D341" s="14" t="n">
        <v>46059</v>
      </c>
      <c r="E341" s="15" t="n">
        <v>-1</v>
      </c>
      <c r="F341" s="5" t="s">
        <v>277</v>
      </c>
      <c r="G341" s="5" t="s">
        <v>178</v>
      </c>
      <c r="H341" s="5" t="s">
        <v>189</v>
      </c>
      <c r="I341" s="5" t="s">
        <v>194</v>
      </c>
      <c r="J341" s="5" t="s">
        <v>199</v>
      </c>
      <c r="K341" s="16" t="n">
        <v>-30000</v>
      </c>
      <c r="L341" s="5" t="s">
        <v>260</v>
      </c>
      <c r="M341" s="17" t="n">
        <v>30030.03003003</v>
      </c>
      <c r="N341" s="3" t="str">
        <f aca="false">IF(OR(K341="",M341=""),"",IF(C341="STATS_ONLY","stats",IF(ROUND(K341/M341,2)=E341,"OK","CHECK")))</f>
        <v>OK</v>
      </c>
      <c r="O341" s="3" t="str">
        <f aca="false">TEXT(D341,"yyyy-mm")</f>
        <v>2026-02</v>
      </c>
      <c r="P341" s="13"/>
    </row>
    <row r="342" customFormat="false" ht="15" hidden="false" customHeight="false" outlineLevel="0" collapsed="false">
      <c r="A342" s="5" t="s">
        <v>28</v>
      </c>
      <c r="B342" s="5" t="n">
        <v>9386</v>
      </c>
      <c r="C342" s="5" t="s">
        <v>259</v>
      </c>
      <c r="D342" s="14" t="n">
        <v>46060</v>
      </c>
      <c r="E342" s="15" t="n">
        <v>-1.67</v>
      </c>
      <c r="F342" s="5" t="s">
        <v>273</v>
      </c>
      <c r="G342" s="5" t="s">
        <v>178</v>
      </c>
      <c r="H342" s="5" t="s">
        <v>189</v>
      </c>
      <c r="I342" s="5" t="s">
        <v>194</v>
      </c>
      <c r="J342" s="5" t="s">
        <v>195</v>
      </c>
      <c r="K342" s="16" t="n">
        <v>-50000</v>
      </c>
      <c r="L342" s="5" t="s">
        <v>260</v>
      </c>
      <c r="M342" s="17" t="n">
        <v>30030.03003003</v>
      </c>
      <c r="N342" s="3" t="str">
        <f aca="false">IF(OR(K342="",M342=""),"",IF(C342="STATS_ONLY","stats",IF(ROUND(K342/M342,2)=E342,"OK","CHECK")))</f>
        <v>OK</v>
      </c>
      <c r="O342" s="3" t="str">
        <f aca="false">TEXT(D342,"yyyy-mm")</f>
        <v>2026-02</v>
      </c>
      <c r="P342" s="13"/>
    </row>
    <row r="343" customFormat="false" ht="15" hidden="false" customHeight="false" outlineLevel="0" collapsed="false">
      <c r="A343" s="5" t="s">
        <v>28</v>
      </c>
      <c r="B343" s="5" t="n">
        <v>9387</v>
      </c>
      <c r="C343" s="5" t="s">
        <v>259</v>
      </c>
      <c r="D343" s="14" t="n">
        <v>46060</v>
      </c>
      <c r="E343" s="15" t="n">
        <v>-1.83</v>
      </c>
      <c r="F343" s="5" t="s">
        <v>286</v>
      </c>
      <c r="G343" s="5" t="s">
        <v>178</v>
      </c>
      <c r="H343" s="5" t="s">
        <v>189</v>
      </c>
      <c r="I343" s="5" t="s">
        <v>194</v>
      </c>
      <c r="J343" s="5" t="s">
        <v>209</v>
      </c>
      <c r="K343" s="16" t="n">
        <v>-55000</v>
      </c>
      <c r="L343" s="5" t="s">
        <v>260</v>
      </c>
      <c r="M343" s="17" t="n">
        <v>30030.03003003</v>
      </c>
      <c r="N343" s="3" t="str">
        <f aca="false">IF(OR(K343="",M343=""),"",IF(C343="STATS_ONLY","stats",IF(ROUND(K343/M343,2)=E343,"OK","CHECK")))</f>
        <v>OK</v>
      </c>
      <c r="O343" s="3" t="str">
        <f aca="false">TEXT(D343,"yyyy-mm")</f>
        <v>2026-02</v>
      </c>
      <c r="P343" s="13"/>
    </row>
    <row r="344" customFormat="false" ht="15" hidden="false" customHeight="false" outlineLevel="0" collapsed="false">
      <c r="A344" s="5" t="s">
        <v>28</v>
      </c>
      <c r="B344" s="5" t="n">
        <v>9388</v>
      </c>
      <c r="C344" s="5" t="s">
        <v>259</v>
      </c>
      <c r="D344" s="14" t="n">
        <v>46060</v>
      </c>
      <c r="E344" s="15" t="n">
        <v>-4</v>
      </c>
      <c r="F344" s="5" t="s">
        <v>217</v>
      </c>
      <c r="G344" s="5" t="s">
        <v>178</v>
      </c>
      <c r="H344" s="5" t="s">
        <v>189</v>
      </c>
      <c r="I344" s="5" t="s">
        <v>194</v>
      </c>
      <c r="J344" s="5" t="s">
        <v>197</v>
      </c>
      <c r="K344" s="16" t="n">
        <v>-120000</v>
      </c>
      <c r="L344" s="5" t="s">
        <v>260</v>
      </c>
      <c r="M344" s="17" t="n">
        <v>30030.03003003</v>
      </c>
      <c r="N344" s="3" t="str">
        <f aca="false">IF(OR(K344="",M344=""),"",IF(C344="STATS_ONLY","stats",IF(ROUND(K344/M344,2)=E344,"OK","CHECK")))</f>
        <v>OK</v>
      </c>
      <c r="O344" s="3" t="str">
        <f aca="false">TEXT(D344,"yyyy-mm")</f>
        <v>2026-02</v>
      </c>
      <c r="P344" s="13"/>
    </row>
    <row r="345" customFormat="false" ht="15" hidden="false" customHeight="false" outlineLevel="0" collapsed="false">
      <c r="A345" s="5" t="s">
        <v>28</v>
      </c>
      <c r="B345" s="5" t="n">
        <v>9389</v>
      </c>
      <c r="C345" s="5" t="s">
        <v>259</v>
      </c>
      <c r="D345" s="14" t="n">
        <v>46060</v>
      </c>
      <c r="E345" s="15" t="n">
        <v>-0.83</v>
      </c>
      <c r="F345" s="5" t="s">
        <v>279</v>
      </c>
      <c r="G345" s="5" t="s">
        <v>178</v>
      </c>
      <c r="H345" s="5" t="s">
        <v>189</v>
      </c>
      <c r="I345" s="5" t="s">
        <v>194</v>
      </c>
      <c r="J345" s="5" t="s">
        <v>181</v>
      </c>
      <c r="K345" s="16" t="n">
        <v>-25000</v>
      </c>
      <c r="L345" s="5" t="s">
        <v>260</v>
      </c>
      <c r="M345" s="17" t="n">
        <v>30030.03003003</v>
      </c>
      <c r="N345" s="3" t="str">
        <f aca="false">IF(OR(K345="",M345=""),"",IF(C345="STATS_ONLY","stats",IF(ROUND(K345/M345,2)=E345,"OK","CHECK")))</f>
        <v>OK</v>
      </c>
      <c r="O345" s="3" t="str">
        <f aca="false">TEXT(D345,"yyyy-mm")</f>
        <v>2026-02</v>
      </c>
      <c r="P345" s="13"/>
    </row>
    <row r="346" customFormat="false" ht="15" hidden="false" customHeight="false" outlineLevel="0" collapsed="false">
      <c r="A346" s="5" t="s">
        <v>28</v>
      </c>
      <c r="B346" s="5" t="n">
        <v>9615</v>
      </c>
      <c r="C346" s="5" t="s">
        <v>213</v>
      </c>
      <c r="D346" s="14" t="n">
        <v>46060</v>
      </c>
      <c r="E346" s="15" t="n">
        <v>-21.78</v>
      </c>
      <c r="F346" s="5" t="s">
        <v>214</v>
      </c>
      <c r="G346" s="5" t="s">
        <v>163</v>
      </c>
      <c r="H346" s="5" t="s">
        <v>164</v>
      </c>
      <c r="I346" s="5" t="s">
        <v>215</v>
      </c>
      <c r="J346" s="5"/>
      <c r="K346" s="16"/>
      <c r="L346" s="5"/>
      <c r="M346" s="17"/>
      <c r="N346" s="3" t="str">
        <f aca="false">IF(OR(K346="",M346=""),"",IF(C346="STATS_ONLY","stats",IF(ROUND(K346/M346,2)=E346,"OK","CHECK")))</f>
        <v/>
      </c>
      <c r="O346" s="3" t="str">
        <f aca="false">TEXT(D346,"yyyy-mm")</f>
        <v>2026-02</v>
      </c>
      <c r="P346" s="13"/>
    </row>
    <row r="347" customFormat="false" ht="15" hidden="false" customHeight="false" outlineLevel="0" collapsed="false">
      <c r="A347" s="5" t="s">
        <v>28</v>
      </c>
      <c r="B347" s="5" t="n">
        <v>9390</v>
      </c>
      <c r="C347" s="5" t="s">
        <v>259</v>
      </c>
      <c r="D347" s="14" t="n">
        <v>46061</v>
      </c>
      <c r="E347" s="15" t="n">
        <v>-2</v>
      </c>
      <c r="F347" s="5" t="s">
        <v>261</v>
      </c>
      <c r="G347" s="5" t="s">
        <v>178</v>
      </c>
      <c r="H347" s="5" t="s">
        <v>189</v>
      </c>
      <c r="I347" s="5" t="s">
        <v>194</v>
      </c>
      <c r="J347" s="5" t="s">
        <v>195</v>
      </c>
      <c r="K347" s="16" t="n">
        <v>-60000</v>
      </c>
      <c r="L347" s="5" t="s">
        <v>260</v>
      </c>
      <c r="M347" s="17" t="n">
        <v>30030.03003003</v>
      </c>
      <c r="N347" s="3" t="str">
        <f aca="false">IF(OR(K347="",M347=""),"",IF(C347="STATS_ONLY","stats",IF(ROUND(K347/M347,2)=E347,"OK","CHECK")))</f>
        <v>OK</v>
      </c>
      <c r="O347" s="3" t="str">
        <f aca="false">TEXT(D347,"yyyy-mm")</f>
        <v>2026-02</v>
      </c>
      <c r="P347" s="13"/>
    </row>
    <row r="348" customFormat="false" ht="15" hidden="false" customHeight="false" outlineLevel="0" collapsed="false">
      <c r="A348" s="5" t="s">
        <v>28</v>
      </c>
      <c r="B348" s="5" t="n">
        <v>9391</v>
      </c>
      <c r="C348" s="5" t="s">
        <v>259</v>
      </c>
      <c r="D348" s="14" t="n">
        <v>46061</v>
      </c>
      <c r="E348" s="15" t="n">
        <v>-1.33</v>
      </c>
      <c r="F348" s="5" t="s">
        <v>286</v>
      </c>
      <c r="G348" s="5" t="s">
        <v>178</v>
      </c>
      <c r="H348" s="5" t="s">
        <v>189</v>
      </c>
      <c r="I348" s="5" t="s">
        <v>194</v>
      </c>
      <c r="J348" s="5" t="s">
        <v>209</v>
      </c>
      <c r="K348" s="16" t="n">
        <v>-40000</v>
      </c>
      <c r="L348" s="5" t="s">
        <v>260</v>
      </c>
      <c r="M348" s="17" t="n">
        <v>30030.03003003</v>
      </c>
      <c r="N348" s="3" t="str">
        <f aca="false">IF(OR(K348="",M348=""),"",IF(C348="STATS_ONLY","stats",IF(ROUND(K348/M348,2)=E348,"OK","CHECK")))</f>
        <v>OK</v>
      </c>
      <c r="O348" s="3" t="str">
        <f aca="false">TEXT(D348,"yyyy-mm")</f>
        <v>2026-02</v>
      </c>
      <c r="P348" s="13"/>
    </row>
    <row r="349" customFormat="false" ht="15" hidden="false" customHeight="false" outlineLevel="0" collapsed="false">
      <c r="A349" s="5" t="s">
        <v>28</v>
      </c>
      <c r="B349" s="5" t="n">
        <v>9392</v>
      </c>
      <c r="C349" s="5" t="s">
        <v>259</v>
      </c>
      <c r="D349" s="14" t="n">
        <v>46061</v>
      </c>
      <c r="E349" s="15" t="n">
        <v>-2.16</v>
      </c>
      <c r="F349" s="5" t="s">
        <v>281</v>
      </c>
      <c r="G349" s="5" t="s">
        <v>178</v>
      </c>
      <c r="H349" s="5" t="s">
        <v>189</v>
      </c>
      <c r="I349" s="5" t="s">
        <v>194</v>
      </c>
      <c r="J349" s="5" t="s">
        <v>197</v>
      </c>
      <c r="K349" s="16" t="n">
        <v>-65000</v>
      </c>
      <c r="L349" s="5" t="s">
        <v>260</v>
      </c>
      <c r="M349" s="17" t="n">
        <v>30030.03003003</v>
      </c>
      <c r="N349" s="3" t="str">
        <f aca="false">IF(OR(K349="",M349=""),"",IF(C349="STATS_ONLY","stats",IF(ROUND(K349/M349,2)=E349,"OK","CHECK")))</f>
        <v>OK</v>
      </c>
      <c r="O349" s="3" t="str">
        <f aca="false">TEXT(D349,"yyyy-mm")</f>
        <v>2026-02</v>
      </c>
      <c r="P349" s="13"/>
    </row>
    <row r="350" customFormat="false" ht="15" hidden="false" customHeight="false" outlineLevel="0" collapsed="false">
      <c r="A350" s="5" t="s">
        <v>28</v>
      </c>
      <c r="B350" s="5" t="n">
        <v>9616</v>
      </c>
      <c r="C350" s="5" t="s">
        <v>152</v>
      </c>
      <c r="D350" s="14" t="n">
        <v>46061</v>
      </c>
      <c r="E350" s="15" t="n">
        <v>-2.99</v>
      </c>
      <c r="F350" s="5" t="s">
        <v>219</v>
      </c>
      <c r="G350" s="5" t="s">
        <v>163</v>
      </c>
      <c r="H350" s="5" t="s">
        <v>164</v>
      </c>
      <c r="I350" s="5" t="s">
        <v>220</v>
      </c>
      <c r="J350" s="5"/>
      <c r="K350" s="16"/>
      <c r="L350" s="5"/>
      <c r="M350" s="17"/>
      <c r="N350" s="3" t="str">
        <f aca="false">IF(OR(K350="",M350=""),"",IF(C350="STATS_ONLY","stats",IF(ROUND(K350/M350,2)=E350,"OK","CHECK")))</f>
        <v/>
      </c>
      <c r="O350" s="3" t="str">
        <f aca="false">TEXT(D350,"yyyy-mm")</f>
        <v>2026-02</v>
      </c>
      <c r="P350" s="13"/>
    </row>
    <row r="351" customFormat="false" ht="15" hidden="false" customHeight="false" outlineLevel="0" collapsed="false">
      <c r="A351" s="5" t="s">
        <v>28</v>
      </c>
      <c r="B351" s="5" t="n">
        <v>9393</v>
      </c>
      <c r="C351" s="5" t="s">
        <v>259</v>
      </c>
      <c r="D351" s="14" t="n">
        <v>46062</v>
      </c>
      <c r="E351" s="15" t="n">
        <v>-2.33</v>
      </c>
      <c r="F351" s="5" t="s">
        <v>262</v>
      </c>
      <c r="G351" s="5" t="s">
        <v>178</v>
      </c>
      <c r="H351" s="5" t="s">
        <v>189</v>
      </c>
      <c r="I351" s="5" t="s">
        <v>194</v>
      </c>
      <c r="J351" s="5" t="s">
        <v>209</v>
      </c>
      <c r="K351" s="16" t="n">
        <v>-70000</v>
      </c>
      <c r="L351" s="5" t="s">
        <v>260</v>
      </c>
      <c r="M351" s="17" t="n">
        <v>30030.03003003</v>
      </c>
      <c r="N351" s="3" t="str">
        <f aca="false">IF(OR(K351="",M351=""),"",IF(C351="STATS_ONLY","stats",IF(ROUND(K351/M351,2)=E351,"OK","CHECK")))</f>
        <v>OK</v>
      </c>
      <c r="O351" s="3" t="str">
        <f aca="false">TEXT(D351,"yyyy-mm")</f>
        <v>2026-02</v>
      </c>
      <c r="P351" s="13"/>
    </row>
    <row r="352" customFormat="false" ht="15" hidden="false" customHeight="false" outlineLevel="0" collapsed="false">
      <c r="A352" s="5" t="s">
        <v>28</v>
      </c>
      <c r="B352" s="5" t="n">
        <v>9394</v>
      </c>
      <c r="C352" s="5" t="s">
        <v>259</v>
      </c>
      <c r="D352" s="14" t="n">
        <v>46062</v>
      </c>
      <c r="E352" s="15" t="n">
        <v>-1.33</v>
      </c>
      <c r="F352" s="5" t="s">
        <v>218</v>
      </c>
      <c r="G352" s="5" t="s">
        <v>178</v>
      </c>
      <c r="H352" s="5" t="s">
        <v>189</v>
      </c>
      <c r="I352" s="5" t="s">
        <v>194</v>
      </c>
      <c r="J352" s="5" t="s">
        <v>199</v>
      </c>
      <c r="K352" s="16" t="n">
        <v>-40000</v>
      </c>
      <c r="L352" s="5" t="s">
        <v>260</v>
      </c>
      <c r="M352" s="17" t="n">
        <v>30030.03003003</v>
      </c>
      <c r="N352" s="3" t="str">
        <f aca="false">IF(OR(K352="",M352=""),"",IF(C352="STATS_ONLY","stats",IF(ROUND(K352/M352,2)=E352,"OK","CHECK")))</f>
        <v>OK</v>
      </c>
      <c r="O352" s="3" t="str">
        <f aca="false">TEXT(D352,"yyyy-mm")</f>
        <v>2026-02</v>
      </c>
      <c r="P352" s="13"/>
    </row>
    <row r="353" customFormat="false" ht="15" hidden="false" customHeight="false" outlineLevel="0" collapsed="false">
      <c r="A353" s="5" t="s">
        <v>28</v>
      </c>
      <c r="B353" s="5" t="n">
        <v>9395</v>
      </c>
      <c r="C353" s="5" t="s">
        <v>259</v>
      </c>
      <c r="D353" s="14" t="n">
        <v>46062</v>
      </c>
      <c r="E353" s="15" t="n">
        <v>-2.66</v>
      </c>
      <c r="F353" s="5" t="s">
        <v>228</v>
      </c>
      <c r="G353" s="5" t="s">
        <v>178</v>
      </c>
      <c r="H353" s="5" t="s">
        <v>189</v>
      </c>
      <c r="I353" s="5" t="s">
        <v>194</v>
      </c>
      <c r="J353" s="5" t="s">
        <v>229</v>
      </c>
      <c r="K353" s="16" t="n">
        <v>-80000</v>
      </c>
      <c r="L353" s="5" t="s">
        <v>260</v>
      </c>
      <c r="M353" s="17" t="n">
        <v>30030.03003003</v>
      </c>
      <c r="N353" s="3" t="str">
        <f aca="false">IF(OR(K353="",M353=""),"",IF(C353="STATS_ONLY","stats",IF(ROUND(K353/M353,2)=E353,"OK","CHECK")))</f>
        <v>OK</v>
      </c>
      <c r="O353" s="3" t="str">
        <f aca="false">TEXT(D353,"yyyy-mm")</f>
        <v>2026-02</v>
      </c>
      <c r="P353" s="13"/>
    </row>
    <row r="354" customFormat="false" ht="15" hidden="false" customHeight="false" outlineLevel="0" collapsed="false">
      <c r="A354" s="5" t="s">
        <v>28</v>
      </c>
      <c r="B354" s="5" t="n">
        <v>9396</v>
      </c>
      <c r="C354" s="5" t="s">
        <v>259</v>
      </c>
      <c r="D354" s="14" t="n">
        <v>46063</v>
      </c>
      <c r="E354" s="15" t="n">
        <v>-1.67</v>
      </c>
      <c r="F354" s="5" t="s">
        <v>270</v>
      </c>
      <c r="G354" s="5" t="s">
        <v>178</v>
      </c>
      <c r="H354" s="5" t="s">
        <v>189</v>
      </c>
      <c r="I354" s="5" t="s">
        <v>194</v>
      </c>
      <c r="J354" s="5" t="s">
        <v>199</v>
      </c>
      <c r="K354" s="16" t="n">
        <v>-50000</v>
      </c>
      <c r="L354" s="5" t="s">
        <v>260</v>
      </c>
      <c r="M354" s="17" t="n">
        <v>30030.03003003</v>
      </c>
      <c r="N354" s="3" t="str">
        <f aca="false">IF(OR(K354="",M354=""),"",IF(C354="STATS_ONLY","stats",IF(ROUND(K354/M354,2)=E354,"OK","CHECK")))</f>
        <v>OK</v>
      </c>
      <c r="O354" s="3" t="str">
        <f aca="false">TEXT(D354,"yyyy-mm")</f>
        <v>2026-02</v>
      </c>
      <c r="P354" s="13"/>
    </row>
    <row r="355" customFormat="false" ht="15" hidden="false" customHeight="false" outlineLevel="0" collapsed="false">
      <c r="A355" s="5" t="s">
        <v>28</v>
      </c>
      <c r="B355" s="5" t="n">
        <v>9397</v>
      </c>
      <c r="C355" s="5" t="s">
        <v>259</v>
      </c>
      <c r="D355" s="14" t="n">
        <v>46063</v>
      </c>
      <c r="E355" s="15" t="n">
        <v>-4.5</v>
      </c>
      <c r="F355" s="5" t="s">
        <v>223</v>
      </c>
      <c r="G355" s="5" t="s">
        <v>178</v>
      </c>
      <c r="H355" s="5" t="s">
        <v>189</v>
      </c>
      <c r="I355" s="5" t="s">
        <v>194</v>
      </c>
      <c r="J355" s="5" t="s">
        <v>206</v>
      </c>
      <c r="K355" s="16" t="n">
        <v>-135000</v>
      </c>
      <c r="L355" s="5" t="s">
        <v>260</v>
      </c>
      <c r="M355" s="17" t="n">
        <v>30030.03003003</v>
      </c>
      <c r="N355" s="3" t="str">
        <f aca="false">IF(OR(K355="",M355=""),"",IF(C355="STATS_ONLY","stats",IF(ROUND(K355/M355,2)=E355,"OK","CHECK")))</f>
        <v>OK</v>
      </c>
      <c r="O355" s="3" t="str">
        <f aca="false">TEXT(D355,"yyyy-mm")</f>
        <v>2026-02</v>
      </c>
      <c r="P355" s="13"/>
    </row>
    <row r="356" customFormat="false" ht="15" hidden="false" customHeight="false" outlineLevel="0" collapsed="false">
      <c r="A356" s="5" t="s">
        <v>28</v>
      </c>
      <c r="B356" s="5" t="n">
        <v>9398</v>
      </c>
      <c r="C356" s="5" t="s">
        <v>259</v>
      </c>
      <c r="D356" s="14" t="n">
        <v>46064</v>
      </c>
      <c r="E356" s="15" t="n">
        <v>-2.66</v>
      </c>
      <c r="F356" s="5" t="s">
        <v>280</v>
      </c>
      <c r="G356" s="5" t="s">
        <v>178</v>
      </c>
      <c r="H356" s="5" t="s">
        <v>189</v>
      </c>
      <c r="I356" s="5" t="s">
        <v>194</v>
      </c>
      <c r="J356" s="5" t="s">
        <v>209</v>
      </c>
      <c r="K356" s="16" t="n">
        <v>-80000</v>
      </c>
      <c r="L356" s="5" t="s">
        <v>260</v>
      </c>
      <c r="M356" s="17" t="n">
        <v>30030.03003003</v>
      </c>
      <c r="N356" s="3" t="str">
        <f aca="false">IF(OR(K356="",M356=""),"",IF(C356="STATS_ONLY","stats",IF(ROUND(K356/M356,2)=E356,"OK","CHECK")))</f>
        <v>OK</v>
      </c>
      <c r="O356" s="3" t="str">
        <f aca="false">TEXT(D356,"yyyy-mm")</f>
        <v>2026-02</v>
      </c>
      <c r="P356" s="13"/>
    </row>
    <row r="357" customFormat="false" ht="15" hidden="false" customHeight="false" outlineLevel="0" collapsed="false">
      <c r="A357" s="5" t="s">
        <v>28</v>
      </c>
      <c r="B357" s="5" t="n">
        <v>9399</v>
      </c>
      <c r="C357" s="5" t="s">
        <v>259</v>
      </c>
      <c r="D357" s="14" t="n">
        <v>46064</v>
      </c>
      <c r="E357" s="15" t="n">
        <v>-1</v>
      </c>
      <c r="F357" s="5" t="s">
        <v>284</v>
      </c>
      <c r="G357" s="5" t="s">
        <v>178</v>
      </c>
      <c r="H357" s="5" t="s">
        <v>189</v>
      </c>
      <c r="I357" s="5" t="s">
        <v>194</v>
      </c>
      <c r="J357" s="5" t="s">
        <v>199</v>
      </c>
      <c r="K357" s="16" t="n">
        <v>-30000</v>
      </c>
      <c r="L357" s="5" t="s">
        <v>260</v>
      </c>
      <c r="M357" s="17" t="n">
        <v>30030.03003003</v>
      </c>
      <c r="N357" s="3" t="str">
        <f aca="false">IF(OR(K357="",M357=""),"",IF(C357="STATS_ONLY","stats",IF(ROUND(K357/M357,2)=E357,"OK","CHECK")))</f>
        <v>OK</v>
      </c>
      <c r="O357" s="3" t="str">
        <f aca="false">TEXT(D357,"yyyy-mm")</f>
        <v>2026-02</v>
      </c>
      <c r="P357" s="13"/>
    </row>
    <row r="358" customFormat="false" ht="15" hidden="false" customHeight="false" outlineLevel="0" collapsed="false">
      <c r="A358" s="5" t="s">
        <v>28</v>
      </c>
      <c r="B358" s="5" t="n">
        <v>9400</v>
      </c>
      <c r="C358" s="5" t="s">
        <v>259</v>
      </c>
      <c r="D358" s="14" t="n">
        <v>46064</v>
      </c>
      <c r="E358" s="15" t="n">
        <v>-0.5</v>
      </c>
      <c r="F358" s="5" t="s">
        <v>233</v>
      </c>
      <c r="G358" s="5" t="s">
        <v>178</v>
      </c>
      <c r="H358" s="5" t="s">
        <v>189</v>
      </c>
      <c r="I358" s="5" t="s">
        <v>194</v>
      </c>
      <c r="J358" s="5" t="s">
        <v>181</v>
      </c>
      <c r="K358" s="16" t="n">
        <v>-15000</v>
      </c>
      <c r="L358" s="5" t="s">
        <v>260</v>
      </c>
      <c r="M358" s="17" t="n">
        <v>30030.03003003</v>
      </c>
      <c r="N358" s="3" t="str">
        <f aca="false">IF(OR(K358="",M358=""),"",IF(C358="STATS_ONLY","stats",IF(ROUND(K358/M358,2)=E358,"OK","CHECK")))</f>
        <v>OK</v>
      </c>
      <c r="O358" s="3" t="str">
        <f aca="false">TEXT(D358,"yyyy-mm")</f>
        <v>2026-02</v>
      </c>
      <c r="P358" s="13"/>
    </row>
    <row r="359" customFormat="false" ht="15" hidden="false" customHeight="false" outlineLevel="0" collapsed="false">
      <c r="A359" s="5" t="s">
        <v>28</v>
      </c>
      <c r="B359" s="5" t="n">
        <v>9401</v>
      </c>
      <c r="C359" s="5" t="s">
        <v>259</v>
      </c>
      <c r="D359" s="14" t="n">
        <v>46064</v>
      </c>
      <c r="E359" s="15" t="n">
        <v>-7.99</v>
      </c>
      <c r="F359" s="5" t="s">
        <v>256</v>
      </c>
      <c r="G359" s="5" t="s">
        <v>178</v>
      </c>
      <c r="H359" s="5" t="s">
        <v>189</v>
      </c>
      <c r="I359" s="5" t="s">
        <v>194</v>
      </c>
      <c r="J359" s="5" t="s">
        <v>206</v>
      </c>
      <c r="K359" s="16" t="n">
        <v>-240000</v>
      </c>
      <c r="L359" s="5" t="s">
        <v>260</v>
      </c>
      <c r="M359" s="17" t="n">
        <v>30030.03003003</v>
      </c>
      <c r="N359" s="3" t="str">
        <f aca="false">IF(OR(K359="",M359=""),"",IF(C359="STATS_ONLY","stats",IF(ROUND(K359/M359,2)=E359,"OK","CHECK")))</f>
        <v>OK</v>
      </c>
      <c r="O359" s="3" t="str">
        <f aca="false">TEXT(D359,"yyyy-mm")</f>
        <v>2026-02</v>
      </c>
      <c r="P359" s="13"/>
    </row>
    <row r="360" customFormat="false" ht="15" hidden="false" customHeight="false" outlineLevel="0" collapsed="false">
      <c r="A360" s="5" t="s">
        <v>28</v>
      </c>
      <c r="B360" s="5" t="n">
        <v>9402</v>
      </c>
      <c r="C360" s="5" t="s">
        <v>259</v>
      </c>
      <c r="D360" s="14" t="n">
        <v>46065</v>
      </c>
      <c r="E360" s="15" t="n">
        <v>-2.33</v>
      </c>
      <c r="F360" s="5" t="s">
        <v>273</v>
      </c>
      <c r="G360" s="5" t="s">
        <v>178</v>
      </c>
      <c r="H360" s="5" t="s">
        <v>189</v>
      </c>
      <c r="I360" s="5" t="s">
        <v>194</v>
      </c>
      <c r="J360" s="5" t="s">
        <v>195</v>
      </c>
      <c r="K360" s="16" t="n">
        <v>-70000</v>
      </c>
      <c r="L360" s="5" t="s">
        <v>260</v>
      </c>
      <c r="M360" s="17" t="n">
        <v>30030.03003003</v>
      </c>
      <c r="N360" s="3" t="str">
        <f aca="false">IF(OR(K360="",M360=""),"",IF(C360="STATS_ONLY","stats",IF(ROUND(K360/M360,2)=E360,"OK","CHECK")))</f>
        <v>OK</v>
      </c>
      <c r="O360" s="3" t="str">
        <f aca="false">TEXT(D360,"yyyy-mm")</f>
        <v>2026-02</v>
      </c>
      <c r="P360" s="13"/>
    </row>
    <row r="361" customFormat="false" ht="15" hidden="false" customHeight="false" outlineLevel="0" collapsed="false">
      <c r="A361" s="5" t="s">
        <v>28</v>
      </c>
      <c r="B361" s="5" t="n">
        <v>9403</v>
      </c>
      <c r="C361" s="5" t="s">
        <v>259</v>
      </c>
      <c r="D361" s="14" t="n">
        <v>46065</v>
      </c>
      <c r="E361" s="15" t="n">
        <v>-1.5</v>
      </c>
      <c r="F361" s="5" t="s">
        <v>277</v>
      </c>
      <c r="G361" s="5" t="s">
        <v>178</v>
      </c>
      <c r="H361" s="5" t="s">
        <v>189</v>
      </c>
      <c r="I361" s="5" t="s">
        <v>194</v>
      </c>
      <c r="J361" s="5" t="s">
        <v>199</v>
      </c>
      <c r="K361" s="16" t="n">
        <v>-45000</v>
      </c>
      <c r="L361" s="5" t="s">
        <v>260</v>
      </c>
      <c r="M361" s="17" t="n">
        <v>30030.03003003</v>
      </c>
      <c r="N361" s="3" t="str">
        <f aca="false">IF(OR(K361="",M361=""),"",IF(C361="STATS_ONLY","stats",IF(ROUND(K361/M361,2)=E361,"OK","CHECK")))</f>
        <v>OK</v>
      </c>
      <c r="O361" s="3" t="str">
        <f aca="false">TEXT(D361,"yyyy-mm")</f>
        <v>2026-02</v>
      </c>
      <c r="P361" s="13"/>
    </row>
    <row r="362" customFormat="false" ht="15" hidden="false" customHeight="false" outlineLevel="0" collapsed="false">
      <c r="A362" s="5" t="s">
        <v>28</v>
      </c>
      <c r="B362" s="5" t="n">
        <v>9404</v>
      </c>
      <c r="C362" s="5" t="s">
        <v>259</v>
      </c>
      <c r="D362" s="14" t="n">
        <v>46065</v>
      </c>
      <c r="E362" s="15" t="n">
        <v>-6.16</v>
      </c>
      <c r="F362" s="5" t="s">
        <v>236</v>
      </c>
      <c r="G362" s="5" t="s">
        <v>178</v>
      </c>
      <c r="H362" s="5" t="s">
        <v>189</v>
      </c>
      <c r="I362" s="5" t="s">
        <v>194</v>
      </c>
      <c r="J362" s="5" t="s">
        <v>237</v>
      </c>
      <c r="K362" s="16" t="n">
        <v>-185000</v>
      </c>
      <c r="L362" s="5" t="s">
        <v>260</v>
      </c>
      <c r="M362" s="17" t="n">
        <v>30030.03003003</v>
      </c>
      <c r="N362" s="3" t="str">
        <f aca="false">IF(OR(K362="",M362=""),"",IF(C362="STATS_ONLY","stats",IF(ROUND(K362/M362,2)=E362,"OK","CHECK")))</f>
        <v>OK</v>
      </c>
      <c r="O362" s="3" t="str">
        <f aca="false">TEXT(D362,"yyyy-mm")</f>
        <v>2026-02</v>
      </c>
      <c r="P362" s="13"/>
    </row>
    <row r="363" customFormat="false" ht="15" hidden="false" customHeight="false" outlineLevel="0" collapsed="false">
      <c r="A363" s="5" t="s">
        <v>28</v>
      </c>
      <c r="B363" s="5" t="n">
        <v>9405</v>
      </c>
      <c r="C363" s="5" t="s">
        <v>259</v>
      </c>
      <c r="D363" s="14" t="n">
        <v>46066</v>
      </c>
      <c r="E363" s="15" t="n">
        <v>-2.16</v>
      </c>
      <c r="F363" s="5" t="s">
        <v>273</v>
      </c>
      <c r="G363" s="5" t="s">
        <v>178</v>
      </c>
      <c r="H363" s="5" t="s">
        <v>189</v>
      </c>
      <c r="I363" s="5" t="s">
        <v>194</v>
      </c>
      <c r="J363" s="5" t="s">
        <v>195</v>
      </c>
      <c r="K363" s="16" t="n">
        <v>-65000</v>
      </c>
      <c r="L363" s="5" t="s">
        <v>260</v>
      </c>
      <c r="M363" s="17" t="n">
        <v>30030.03003003</v>
      </c>
      <c r="N363" s="3" t="str">
        <f aca="false">IF(OR(K363="",M363=""),"",IF(C363="STATS_ONLY","stats",IF(ROUND(K363/M363,2)=E363,"OK","CHECK")))</f>
        <v>OK</v>
      </c>
      <c r="O363" s="3" t="str">
        <f aca="false">TEXT(D363,"yyyy-mm")</f>
        <v>2026-02</v>
      </c>
      <c r="P363" s="13"/>
    </row>
    <row r="364" customFormat="false" ht="15" hidden="false" customHeight="false" outlineLevel="0" collapsed="false">
      <c r="A364" s="5" t="s">
        <v>28</v>
      </c>
      <c r="B364" s="5" t="n">
        <v>9406</v>
      </c>
      <c r="C364" s="5" t="s">
        <v>259</v>
      </c>
      <c r="D364" s="14" t="n">
        <v>46066</v>
      </c>
      <c r="E364" s="15" t="n">
        <v>-1.17</v>
      </c>
      <c r="F364" s="5" t="s">
        <v>233</v>
      </c>
      <c r="G364" s="5" t="s">
        <v>178</v>
      </c>
      <c r="H364" s="5" t="s">
        <v>189</v>
      </c>
      <c r="I364" s="5" t="s">
        <v>194</v>
      </c>
      <c r="J364" s="5" t="s">
        <v>181</v>
      </c>
      <c r="K364" s="16" t="n">
        <v>-35000</v>
      </c>
      <c r="L364" s="5" t="s">
        <v>260</v>
      </c>
      <c r="M364" s="17" t="n">
        <v>30030.03003003</v>
      </c>
      <c r="N364" s="3" t="str">
        <f aca="false">IF(OR(K364="",M364=""),"",IF(C364="STATS_ONLY","stats",IF(ROUND(K364/M364,2)=E364,"OK","CHECK")))</f>
        <v>OK</v>
      </c>
      <c r="O364" s="3" t="str">
        <f aca="false">TEXT(D364,"yyyy-mm")</f>
        <v>2026-02</v>
      </c>
      <c r="P364" s="13"/>
    </row>
    <row r="365" customFormat="false" ht="15" hidden="false" customHeight="false" outlineLevel="0" collapsed="false">
      <c r="A365" s="5" t="s">
        <v>28</v>
      </c>
      <c r="B365" s="5" t="n">
        <v>9407</v>
      </c>
      <c r="C365" s="5" t="s">
        <v>259</v>
      </c>
      <c r="D365" s="14" t="n">
        <v>46066</v>
      </c>
      <c r="E365" s="15" t="n">
        <v>-1.5</v>
      </c>
      <c r="F365" s="5" t="s">
        <v>234</v>
      </c>
      <c r="G365" s="5" t="s">
        <v>178</v>
      </c>
      <c r="H365" s="5" t="s">
        <v>189</v>
      </c>
      <c r="I365" s="5" t="s">
        <v>194</v>
      </c>
      <c r="J365" s="5" t="s">
        <v>235</v>
      </c>
      <c r="K365" s="16" t="n">
        <v>-45000</v>
      </c>
      <c r="L365" s="5" t="s">
        <v>260</v>
      </c>
      <c r="M365" s="17" t="n">
        <v>30030.03003003</v>
      </c>
      <c r="N365" s="3" t="str">
        <f aca="false">IF(OR(K365="",M365=""),"",IF(C365="STATS_ONLY","stats",IF(ROUND(K365/M365,2)=E365,"OK","CHECK")))</f>
        <v>OK</v>
      </c>
      <c r="O365" s="3" t="str">
        <f aca="false">TEXT(D365,"yyyy-mm")</f>
        <v>2026-02</v>
      </c>
      <c r="P365" s="13"/>
    </row>
    <row r="366" customFormat="false" ht="15" hidden="false" customHeight="false" outlineLevel="0" collapsed="false">
      <c r="A366" s="5" t="s">
        <v>28</v>
      </c>
      <c r="B366" s="5" t="n">
        <v>9408</v>
      </c>
      <c r="C366" s="5" t="s">
        <v>152</v>
      </c>
      <c r="D366" s="14" t="n">
        <v>46067</v>
      </c>
      <c r="E366" s="15" t="n">
        <v>-100.03</v>
      </c>
      <c r="F366" s="5" t="s">
        <v>288</v>
      </c>
      <c r="G366" s="5" t="s">
        <v>167</v>
      </c>
      <c r="H366" s="5" t="s">
        <v>167</v>
      </c>
      <c r="I366" s="5" t="s">
        <v>168</v>
      </c>
      <c r="J366" s="5"/>
      <c r="K366" s="16"/>
      <c r="L366" s="5"/>
      <c r="M366" s="17"/>
      <c r="N366" s="3" t="str">
        <f aca="false">IF(OR(K366="",M366=""),"",IF(C366="STATS_ONLY","stats",IF(ROUND(K366/M366,2)=E366,"OK","CHECK")))</f>
        <v/>
      </c>
      <c r="O366" s="3" t="str">
        <f aca="false">TEXT(D366,"yyyy-mm")</f>
        <v>2026-02</v>
      </c>
      <c r="P366" s="13" t="s">
        <v>169</v>
      </c>
    </row>
    <row r="367" customFormat="false" ht="15" hidden="false" customHeight="false" outlineLevel="0" collapsed="false">
      <c r="A367" s="5" t="s">
        <v>28</v>
      </c>
      <c r="B367" s="5" t="n">
        <v>9408</v>
      </c>
      <c r="C367" s="5" t="s">
        <v>259</v>
      </c>
      <c r="D367" s="14" t="n">
        <v>46067</v>
      </c>
      <c r="E367" s="15" t="n">
        <v>100.03</v>
      </c>
      <c r="F367" s="5" t="s">
        <v>288</v>
      </c>
      <c r="G367" s="5" t="s">
        <v>167</v>
      </c>
      <c r="H367" s="5" t="s">
        <v>167</v>
      </c>
      <c r="I367" s="5" t="s">
        <v>168</v>
      </c>
      <c r="J367" s="5" t="s">
        <v>203</v>
      </c>
      <c r="K367" s="16" t="n">
        <v>3000000</v>
      </c>
      <c r="L367" s="5" t="s">
        <v>260</v>
      </c>
      <c r="M367" s="18" t="n">
        <f aca="false">K367/E367</f>
        <v>29991.0026991902</v>
      </c>
      <c r="N367" s="3" t="str">
        <f aca="false">IF(OR(K367="",M367=""),"",IF(C367="STATS_ONLY","stats",IF(ROUND(K367/M367,2)=E367,"OK","CHECK")))</f>
        <v>OK</v>
      </c>
      <c r="O367" s="3" t="str">
        <f aca="false">TEXT(D367,"yyyy-mm")</f>
        <v>2026-02</v>
      </c>
      <c r="P367" s="13" t="s">
        <v>170</v>
      </c>
    </row>
    <row r="368" customFormat="false" ht="15" hidden="false" customHeight="false" outlineLevel="0" collapsed="false">
      <c r="A368" s="5" t="s">
        <v>28</v>
      </c>
      <c r="B368" s="5" t="n">
        <v>9409</v>
      </c>
      <c r="C368" s="5" t="s">
        <v>259</v>
      </c>
      <c r="D368" s="14" t="n">
        <v>46067</v>
      </c>
      <c r="E368" s="15" t="n">
        <v>-0.5</v>
      </c>
      <c r="F368" s="5" t="s">
        <v>279</v>
      </c>
      <c r="G368" s="5" t="s">
        <v>178</v>
      </c>
      <c r="H368" s="5" t="s">
        <v>189</v>
      </c>
      <c r="I368" s="5" t="s">
        <v>194</v>
      </c>
      <c r="J368" s="5" t="s">
        <v>181</v>
      </c>
      <c r="K368" s="16" t="n">
        <v>-15000</v>
      </c>
      <c r="L368" s="5" t="s">
        <v>260</v>
      </c>
      <c r="M368" s="17" t="n">
        <v>29991.0026991902</v>
      </c>
      <c r="N368" s="3" t="str">
        <f aca="false">IF(OR(K368="",M368=""),"",IF(C368="STATS_ONLY","stats",IF(ROUND(K368/M368,2)=E368,"OK","CHECK")))</f>
        <v>OK</v>
      </c>
      <c r="O368" s="3" t="str">
        <f aca="false">TEXT(D368,"yyyy-mm")</f>
        <v>2026-02</v>
      </c>
      <c r="P368" s="13"/>
    </row>
    <row r="369" customFormat="false" ht="15" hidden="false" customHeight="false" outlineLevel="0" collapsed="false">
      <c r="A369" s="5" t="s">
        <v>28</v>
      </c>
      <c r="B369" s="5" t="n">
        <v>9410</v>
      </c>
      <c r="C369" s="5" t="s">
        <v>259</v>
      </c>
      <c r="D369" s="14" t="n">
        <v>46067</v>
      </c>
      <c r="E369" s="15" t="n">
        <v>-5.17</v>
      </c>
      <c r="F369" s="5" t="s">
        <v>236</v>
      </c>
      <c r="G369" s="5" t="s">
        <v>178</v>
      </c>
      <c r="H369" s="5" t="s">
        <v>189</v>
      </c>
      <c r="I369" s="5" t="s">
        <v>194</v>
      </c>
      <c r="J369" s="5" t="s">
        <v>237</v>
      </c>
      <c r="K369" s="16" t="n">
        <v>-155000</v>
      </c>
      <c r="L369" s="5" t="s">
        <v>260</v>
      </c>
      <c r="M369" s="17" t="n">
        <v>29991.0026991902</v>
      </c>
      <c r="N369" s="3" t="str">
        <f aca="false">IF(OR(K369="",M369=""),"",IF(C369="STATS_ONLY","stats",IF(ROUND(K369/M369,2)=E369,"OK","CHECK")))</f>
        <v>OK</v>
      </c>
      <c r="O369" s="3" t="str">
        <f aca="false">TEXT(D369,"yyyy-mm")</f>
        <v>2026-02</v>
      </c>
      <c r="P369" s="13"/>
    </row>
    <row r="370" customFormat="false" ht="15" hidden="false" customHeight="false" outlineLevel="0" collapsed="false">
      <c r="A370" s="5" t="s">
        <v>28</v>
      </c>
      <c r="B370" s="5" t="n">
        <v>9411</v>
      </c>
      <c r="C370" s="5" t="s">
        <v>259</v>
      </c>
      <c r="D370" s="14" t="n">
        <v>46068</v>
      </c>
      <c r="E370" s="15" t="n">
        <v>-2.83</v>
      </c>
      <c r="F370" s="5" t="s">
        <v>286</v>
      </c>
      <c r="G370" s="5" t="s">
        <v>178</v>
      </c>
      <c r="H370" s="5" t="s">
        <v>189</v>
      </c>
      <c r="I370" s="5" t="s">
        <v>194</v>
      </c>
      <c r="J370" s="5" t="s">
        <v>209</v>
      </c>
      <c r="K370" s="16" t="n">
        <v>-85000</v>
      </c>
      <c r="L370" s="5" t="s">
        <v>260</v>
      </c>
      <c r="M370" s="17" t="n">
        <v>29991.0026991902</v>
      </c>
      <c r="N370" s="3" t="str">
        <f aca="false">IF(OR(K370="",M370=""),"",IF(C370="STATS_ONLY","stats",IF(ROUND(K370/M370,2)=E370,"OK","CHECK")))</f>
        <v>OK</v>
      </c>
      <c r="O370" s="3" t="str">
        <f aca="false">TEXT(D370,"yyyy-mm")</f>
        <v>2026-02</v>
      </c>
      <c r="P370" s="13"/>
    </row>
    <row r="371" customFormat="false" ht="15" hidden="false" customHeight="false" outlineLevel="0" collapsed="false">
      <c r="A371" s="5" t="s">
        <v>28</v>
      </c>
      <c r="B371" s="5" t="n">
        <v>9412</v>
      </c>
      <c r="C371" s="5" t="s">
        <v>259</v>
      </c>
      <c r="D371" s="14" t="n">
        <v>46068</v>
      </c>
      <c r="E371" s="15" t="n">
        <v>-3.83</v>
      </c>
      <c r="F371" s="5" t="s">
        <v>217</v>
      </c>
      <c r="G371" s="5" t="s">
        <v>178</v>
      </c>
      <c r="H371" s="5" t="s">
        <v>189</v>
      </c>
      <c r="I371" s="5" t="s">
        <v>194</v>
      </c>
      <c r="J371" s="5" t="s">
        <v>197</v>
      </c>
      <c r="K371" s="16" t="n">
        <v>-115000</v>
      </c>
      <c r="L371" s="5" t="s">
        <v>260</v>
      </c>
      <c r="M371" s="17" t="n">
        <v>29991.0026991902</v>
      </c>
      <c r="N371" s="3" t="str">
        <f aca="false">IF(OR(K371="",M371=""),"",IF(C371="STATS_ONLY","stats",IF(ROUND(K371/M371,2)=E371,"OK","CHECK")))</f>
        <v>OK</v>
      </c>
      <c r="O371" s="3" t="str">
        <f aca="false">TEXT(D371,"yyyy-mm")</f>
        <v>2026-02</v>
      </c>
      <c r="P371" s="13"/>
    </row>
    <row r="372" customFormat="false" ht="15" hidden="false" customHeight="false" outlineLevel="0" collapsed="false">
      <c r="A372" s="5" t="s">
        <v>28</v>
      </c>
      <c r="B372" s="5" t="n">
        <v>9413</v>
      </c>
      <c r="C372" s="5" t="s">
        <v>259</v>
      </c>
      <c r="D372" s="14" t="n">
        <v>46068</v>
      </c>
      <c r="E372" s="15" t="n">
        <v>-1</v>
      </c>
      <c r="F372" s="5" t="s">
        <v>277</v>
      </c>
      <c r="G372" s="5" t="s">
        <v>178</v>
      </c>
      <c r="H372" s="5" t="s">
        <v>189</v>
      </c>
      <c r="I372" s="5" t="s">
        <v>194</v>
      </c>
      <c r="J372" s="5" t="s">
        <v>199</v>
      </c>
      <c r="K372" s="16" t="n">
        <v>-30000</v>
      </c>
      <c r="L372" s="5" t="s">
        <v>260</v>
      </c>
      <c r="M372" s="17" t="n">
        <v>29991.0026991902</v>
      </c>
      <c r="N372" s="3" t="str">
        <f aca="false">IF(OR(K372="",M372=""),"",IF(C372="STATS_ONLY","stats",IF(ROUND(K372/M372,2)=E372,"OK","CHECK")))</f>
        <v>OK</v>
      </c>
      <c r="O372" s="3" t="str">
        <f aca="false">TEXT(D372,"yyyy-mm")</f>
        <v>2026-02</v>
      </c>
      <c r="P372" s="13"/>
    </row>
    <row r="373" customFormat="false" ht="15" hidden="false" customHeight="false" outlineLevel="0" collapsed="false">
      <c r="A373" s="5" t="s">
        <v>28</v>
      </c>
      <c r="B373" s="5" t="n">
        <v>9652</v>
      </c>
      <c r="C373" s="5" t="s">
        <v>152</v>
      </c>
      <c r="D373" s="14" t="n">
        <v>46068</v>
      </c>
      <c r="E373" s="15" t="n">
        <v>-96</v>
      </c>
      <c r="F373" s="5" t="s">
        <v>289</v>
      </c>
      <c r="G373" s="5" t="s">
        <v>163</v>
      </c>
      <c r="H373" s="5" t="s">
        <v>164</v>
      </c>
      <c r="I373" s="5" t="s">
        <v>290</v>
      </c>
      <c r="J373" s="5"/>
      <c r="K373" s="16"/>
      <c r="L373" s="5"/>
      <c r="M373" s="17"/>
      <c r="N373" s="3" t="str">
        <f aca="false">IF(OR(K373="",M373=""),"",IF(C373="STATS_ONLY","stats",IF(ROUND(K373/M373,2)=E373,"OK","CHECK")))</f>
        <v/>
      </c>
      <c r="O373" s="3" t="str">
        <f aca="false">TEXT(D373,"yyyy-mm")</f>
        <v>2026-02</v>
      </c>
      <c r="P373" s="13"/>
    </row>
    <row r="374" customFormat="false" ht="15" hidden="false" customHeight="false" outlineLevel="0" collapsed="false">
      <c r="A374" s="5" t="s">
        <v>28</v>
      </c>
      <c r="B374" s="5" t="n">
        <v>9414</v>
      </c>
      <c r="C374" s="5" t="s">
        <v>259</v>
      </c>
      <c r="D374" s="14" t="n">
        <v>46069</v>
      </c>
      <c r="E374" s="15" t="n">
        <v>-2</v>
      </c>
      <c r="F374" s="5" t="s">
        <v>280</v>
      </c>
      <c r="G374" s="5" t="s">
        <v>178</v>
      </c>
      <c r="H374" s="5" t="s">
        <v>189</v>
      </c>
      <c r="I374" s="5" t="s">
        <v>194</v>
      </c>
      <c r="J374" s="5" t="s">
        <v>209</v>
      </c>
      <c r="K374" s="16" t="n">
        <v>-60000</v>
      </c>
      <c r="L374" s="5" t="s">
        <v>260</v>
      </c>
      <c r="M374" s="17" t="n">
        <v>29991.0026991902</v>
      </c>
      <c r="N374" s="3" t="str">
        <f aca="false">IF(OR(K374="",M374=""),"",IF(C374="STATS_ONLY","stats",IF(ROUND(K374/M374,2)=E374,"OK","CHECK")))</f>
        <v>OK</v>
      </c>
      <c r="O374" s="3" t="str">
        <f aca="false">TEXT(D374,"yyyy-mm")</f>
        <v>2026-02</v>
      </c>
      <c r="P374" s="13"/>
    </row>
    <row r="375" customFormat="false" ht="15" hidden="false" customHeight="false" outlineLevel="0" collapsed="false">
      <c r="A375" s="5" t="s">
        <v>28</v>
      </c>
      <c r="B375" s="5" t="n">
        <v>9415</v>
      </c>
      <c r="C375" s="5" t="s">
        <v>259</v>
      </c>
      <c r="D375" s="14" t="n">
        <v>46069</v>
      </c>
      <c r="E375" s="15" t="n">
        <v>-1</v>
      </c>
      <c r="F375" s="5" t="s">
        <v>263</v>
      </c>
      <c r="G375" s="5" t="s">
        <v>178</v>
      </c>
      <c r="H375" s="5" t="s">
        <v>189</v>
      </c>
      <c r="I375" s="5" t="s">
        <v>194</v>
      </c>
      <c r="J375" s="5" t="s">
        <v>181</v>
      </c>
      <c r="K375" s="16" t="n">
        <v>-30000</v>
      </c>
      <c r="L375" s="5" t="s">
        <v>260</v>
      </c>
      <c r="M375" s="17" t="n">
        <v>29991.0026991902</v>
      </c>
      <c r="N375" s="3" t="str">
        <f aca="false">IF(OR(K375="",M375=""),"",IF(C375="STATS_ONLY","stats",IF(ROUND(K375/M375,2)=E375,"OK","CHECK")))</f>
        <v>OK</v>
      </c>
      <c r="O375" s="3" t="str">
        <f aca="false">TEXT(D375,"yyyy-mm")</f>
        <v>2026-02</v>
      </c>
      <c r="P375" s="13"/>
    </row>
    <row r="376" customFormat="false" ht="15" hidden="false" customHeight="false" outlineLevel="0" collapsed="false">
      <c r="A376" s="5" t="s">
        <v>28</v>
      </c>
      <c r="B376" s="5" t="n">
        <v>9416</v>
      </c>
      <c r="C376" s="5" t="s">
        <v>259</v>
      </c>
      <c r="D376" s="14" t="n">
        <v>46070</v>
      </c>
      <c r="E376" s="15" t="n">
        <v>-1.5</v>
      </c>
      <c r="F376" s="5" t="s">
        <v>278</v>
      </c>
      <c r="G376" s="5" t="s">
        <v>178</v>
      </c>
      <c r="H376" s="5" t="s">
        <v>189</v>
      </c>
      <c r="I376" s="5" t="s">
        <v>194</v>
      </c>
      <c r="J376" s="5" t="s">
        <v>195</v>
      </c>
      <c r="K376" s="16" t="n">
        <v>-45000</v>
      </c>
      <c r="L376" s="5" t="s">
        <v>260</v>
      </c>
      <c r="M376" s="17" t="n">
        <v>29991.0026991902</v>
      </c>
      <c r="N376" s="3" t="str">
        <f aca="false">IF(OR(K376="",M376=""),"",IF(C376="STATS_ONLY","stats",IF(ROUND(K376/M376,2)=E376,"OK","CHECK")))</f>
        <v>OK</v>
      </c>
      <c r="O376" s="3" t="str">
        <f aca="false">TEXT(D376,"yyyy-mm")</f>
        <v>2026-02</v>
      </c>
      <c r="P376" s="13"/>
    </row>
    <row r="377" customFormat="false" ht="15" hidden="false" customHeight="false" outlineLevel="0" collapsed="false">
      <c r="A377" s="5" t="s">
        <v>28</v>
      </c>
      <c r="B377" s="5" t="n">
        <v>9417</v>
      </c>
      <c r="C377" s="5" t="s">
        <v>259</v>
      </c>
      <c r="D377" s="14" t="n">
        <v>46070</v>
      </c>
      <c r="E377" s="15" t="n">
        <v>-2</v>
      </c>
      <c r="F377" s="5" t="s">
        <v>262</v>
      </c>
      <c r="G377" s="5" t="s">
        <v>178</v>
      </c>
      <c r="H377" s="5" t="s">
        <v>189</v>
      </c>
      <c r="I377" s="5" t="s">
        <v>194</v>
      </c>
      <c r="J377" s="5" t="s">
        <v>209</v>
      </c>
      <c r="K377" s="16" t="n">
        <v>-60000</v>
      </c>
      <c r="L377" s="5" t="s">
        <v>260</v>
      </c>
      <c r="M377" s="17" t="n">
        <v>29991.0026991902</v>
      </c>
      <c r="N377" s="3" t="str">
        <f aca="false">IF(OR(K377="",M377=""),"",IF(C377="STATS_ONLY","stats",IF(ROUND(K377/M377,2)=E377,"OK","CHECK")))</f>
        <v>OK</v>
      </c>
      <c r="O377" s="3" t="str">
        <f aca="false">TEXT(D377,"yyyy-mm")</f>
        <v>2026-02</v>
      </c>
      <c r="P377" s="13"/>
    </row>
    <row r="378" customFormat="false" ht="15" hidden="false" customHeight="false" outlineLevel="0" collapsed="false">
      <c r="A378" s="5" t="s">
        <v>28</v>
      </c>
      <c r="B378" s="5" t="n">
        <v>9418</v>
      </c>
      <c r="C378" s="5" t="s">
        <v>259</v>
      </c>
      <c r="D378" s="14" t="n">
        <v>46070</v>
      </c>
      <c r="E378" s="15" t="n">
        <v>-1.33</v>
      </c>
      <c r="F378" s="5" t="s">
        <v>270</v>
      </c>
      <c r="G378" s="5" t="s">
        <v>178</v>
      </c>
      <c r="H378" s="5" t="s">
        <v>189</v>
      </c>
      <c r="I378" s="5" t="s">
        <v>194</v>
      </c>
      <c r="J378" s="5" t="s">
        <v>199</v>
      </c>
      <c r="K378" s="16" t="n">
        <v>-40000</v>
      </c>
      <c r="L378" s="5" t="s">
        <v>260</v>
      </c>
      <c r="M378" s="17" t="n">
        <v>29991.0026991902</v>
      </c>
      <c r="N378" s="3" t="str">
        <f aca="false">IF(OR(K378="",M378=""),"",IF(C378="STATS_ONLY","stats",IF(ROUND(K378/M378,2)=E378,"OK","CHECK")))</f>
        <v>OK</v>
      </c>
      <c r="O378" s="3" t="str">
        <f aca="false">TEXT(D378,"yyyy-mm")</f>
        <v>2026-02</v>
      </c>
      <c r="P378" s="13"/>
    </row>
    <row r="379" customFormat="false" ht="15" hidden="false" customHeight="false" outlineLevel="0" collapsed="false">
      <c r="A379" s="5" t="s">
        <v>28</v>
      </c>
      <c r="B379" s="5" t="n">
        <v>9419</v>
      </c>
      <c r="C379" s="5" t="s">
        <v>259</v>
      </c>
      <c r="D379" s="14" t="n">
        <v>46070</v>
      </c>
      <c r="E379" s="15" t="n">
        <v>-0.67</v>
      </c>
      <c r="F379" s="5" t="s">
        <v>279</v>
      </c>
      <c r="G379" s="5" t="s">
        <v>178</v>
      </c>
      <c r="H379" s="5" t="s">
        <v>189</v>
      </c>
      <c r="I379" s="5" t="s">
        <v>194</v>
      </c>
      <c r="J379" s="5" t="s">
        <v>181</v>
      </c>
      <c r="K379" s="16" t="n">
        <v>-20000</v>
      </c>
      <c r="L379" s="5" t="s">
        <v>260</v>
      </c>
      <c r="M379" s="17" t="n">
        <v>29991.0026991902</v>
      </c>
      <c r="N379" s="3" t="str">
        <f aca="false">IF(OR(K379="",M379=""),"",IF(C379="STATS_ONLY","stats",IF(ROUND(K379/M379,2)=E379,"OK","CHECK")))</f>
        <v>OK</v>
      </c>
      <c r="O379" s="3" t="str">
        <f aca="false">TEXT(D379,"yyyy-mm")</f>
        <v>2026-02</v>
      </c>
      <c r="P379" s="13"/>
    </row>
    <row r="380" customFormat="false" ht="15" hidden="false" customHeight="false" outlineLevel="0" collapsed="false">
      <c r="A380" s="5" t="s">
        <v>28</v>
      </c>
      <c r="B380" s="5" t="n">
        <v>9420</v>
      </c>
      <c r="C380" s="5" t="s">
        <v>259</v>
      </c>
      <c r="D380" s="14" t="n">
        <v>46070</v>
      </c>
      <c r="E380" s="15" t="n">
        <v>-1.33</v>
      </c>
      <c r="F380" s="5" t="s">
        <v>242</v>
      </c>
      <c r="G380" s="5" t="s">
        <v>178</v>
      </c>
      <c r="H380" s="5" t="s">
        <v>189</v>
      </c>
      <c r="I380" s="5" t="s">
        <v>194</v>
      </c>
      <c r="J380" s="5" t="s">
        <v>242</v>
      </c>
      <c r="K380" s="16" t="n">
        <v>-40000</v>
      </c>
      <c r="L380" s="5" t="s">
        <v>260</v>
      </c>
      <c r="M380" s="17" t="n">
        <v>29991.0026991902</v>
      </c>
      <c r="N380" s="3" t="str">
        <f aca="false">IF(OR(K380="",M380=""),"",IF(C380="STATS_ONLY","stats",IF(ROUND(K380/M380,2)=E380,"OK","CHECK")))</f>
        <v>OK</v>
      </c>
      <c r="O380" s="3" t="str">
        <f aca="false">TEXT(D380,"yyyy-mm")</f>
        <v>2026-02</v>
      </c>
      <c r="P380" s="13"/>
    </row>
    <row r="381" customFormat="false" ht="15" hidden="false" customHeight="false" outlineLevel="0" collapsed="false">
      <c r="A381" s="5" t="s">
        <v>28</v>
      </c>
      <c r="B381" s="5" t="n">
        <v>9421</v>
      </c>
      <c r="C381" s="5" t="s">
        <v>259</v>
      </c>
      <c r="D381" s="14" t="n">
        <v>46071</v>
      </c>
      <c r="E381" s="15" t="n">
        <v>-1.5</v>
      </c>
      <c r="F381" s="5" t="s">
        <v>286</v>
      </c>
      <c r="G381" s="5" t="s">
        <v>178</v>
      </c>
      <c r="H381" s="5" t="s">
        <v>189</v>
      </c>
      <c r="I381" s="5" t="s">
        <v>194</v>
      </c>
      <c r="J381" s="5" t="s">
        <v>209</v>
      </c>
      <c r="K381" s="16" t="n">
        <v>-45000</v>
      </c>
      <c r="L381" s="5" t="s">
        <v>260</v>
      </c>
      <c r="M381" s="17" t="n">
        <v>29991.0026991902</v>
      </c>
      <c r="N381" s="3" t="str">
        <f aca="false">IF(OR(K381="",M381=""),"",IF(C381="STATS_ONLY","stats",IF(ROUND(K381/M381,2)=E381,"OK","CHECK")))</f>
        <v>OK</v>
      </c>
      <c r="O381" s="3" t="str">
        <f aca="false">TEXT(D381,"yyyy-mm")</f>
        <v>2026-02</v>
      </c>
      <c r="P381" s="13"/>
    </row>
    <row r="382" customFormat="false" ht="15" hidden="false" customHeight="false" outlineLevel="0" collapsed="false">
      <c r="A382" s="5" t="s">
        <v>28</v>
      </c>
      <c r="B382" s="5" t="n">
        <v>9422</v>
      </c>
      <c r="C382" s="5" t="s">
        <v>259</v>
      </c>
      <c r="D382" s="14" t="n">
        <v>46071</v>
      </c>
      <c r="E382" s="15" t="n">
        <v>-1.33</v>
      </c>
      <c r="F382" s="5" t="s">
        <v>218</v>
      </c>
      <c r="G382" s="5" t="s">
        <v>178</v>
      </c>
      <c r="H382" s="5" t="s">
        <v>189</v>
      </c>
      <c r="I382" s="5" t="s">
        <v>194</v>
      </c>
      <c r="J382" s="5" t="s">
        <v>199</v>
      </c>
      <c r="K382" s="16" t="n">
        <v>-40000</v>
      </c>
      <c r="L382" s="5" t="s">
        <v>260</v>
      </c>
      <c r="M382" s="17" t="n">
        <v>29991.0026991902</v>
      </c>
      <c r="N382" s="3" t="str">
        <f aca="false">IF(OR(K382="",M382=""),"",IF(C382="STATS_ONLY","stats",IF(ROUND(K382/M382,2)=E382,"OK","CHECK")))</f>
        <v>OK</v>
      </c>
      <c r="O382" s="3" t="str">
        <f aca="false">TEXT(D382,"yyyy-mm")</f>
        <v>2026-02</v>
      </c>
      <c r="P382" s="13"/>
    </row>
    <row r="383" customFormat="false" ht="15" hidden="false" customHeight="false" outlineLevel="0" collapsed="false">
      <c r="A383" s="5" t="s">
        <v>28</v>
      </c>
      <c r="B383" s="5" t="n">
        <v>9423</v>
      </c>
      <c r="C383" s="5" t="s">
        <v>259</v>
      </c>
      <c r="D383" s="14" t="n">
        <v>46071</v>
      </c>
      <c r="E383" s="15" t="n">
        <v>-1.5</v>
      </c>
      <c r="F383" s="5" t="s">
        <v>242</v>
      </c>
      <c r="G383" s="5" t="s">
        <v>178</v>
      </c>
      <c r="H383" s="5" t="s">
        <v>189</v>
      </c>
      <c r="I383" s="5" t="s">
        <v>194</v>
      </c>
      <c r="J383" s="5" t="s">
        <v>242</v>
      </c>
      <c r="K383" s="16" t="n">
        <v>-45000</v>
      </c>
      <c r="L383" s="5" t="s">
        <v>260</v>
      </c>
      <c r="M383" s="17" t="n">
        <v>29991.0026991902</v>
      </c>
      <c r="N383" s="3" t="str">
        <f aca="false">IF(OR(K383="",M383=""),"",IF(C383="STATS_ONLY","stats",IF(ROUND(K383/M383,2)=E383,"OK","CHECK")))</f>
        <v>OK</v>
      </c>
      <c r="O383" s="3" t="str">
        <f aca="false">TEXT(D383,"yyyy-mm")</f>
        <v>2026-02</v>
      </c>
      <c r="P383" s="13"/>
    </row>
    <row r="384" customFormat="false" ht="15" hidden="false" customHeight="false" outlineLevel="0" collapsed="false">
      <c r="A384" s="5" t="s">
        <v>28</v>
      </c>
      <c r="B384" s="5" t="n">
        <v>9424</v>
      </c>
      <c r="C384" s="5" t="s">
        <v>259</v>
      </c>
      <c r="D384" s="14" t="n">
        <v>46072</v>
      </c>
      <c r="E384" s="15" t="n">
        <v>-2.17</v>
      </c>
      <c r="F384" s="5" t="s">
        <v>262</v>
      </c>
      <c r="G384" s="5" t="s">
        <v>178</v>
      </c>
      <c r="H384" s="5" t="s">
        <v>189</v>
      </c>
      <c r="I384" s="5" t="s">
        <v>194</v>
      </c>
      <c r="J384" s="5" t="s">
        <v>209</v>
      </c>
      <c r="K384" s="16" t="n">
        <v>-65000</v>
      </c>
      <c r="L384" s="5" t="s">
        <v>260</v>
      </c>
      <c r="M384" s="17" t="n">
        <v>29991.0026991902</v>
      </c>
      <c r="N384" s="3" t="str">
        <f aca="false">IF(OR(K384="",M384=""),"",IF(C384="STATS_ONLY","stats",IF(ROUND(K384/M384,2)=E384,"OK","CHECK")))</f>
        <v>OK</v>
      </c>
      <c r="O384" s="3" t="str">
        <f aca="false">TEXT(D384,"yyyy-mm")</f>
        <v>2026-02</v>
      </c>
      <c r="P384" s="13"/>
    </row>
    <row r="385" customFormat="false" ht="15" hidden="false" customHeight="false" outlineLevel="0" collapsed="false">
      <c r="A385" s="5" t="s">
        <v>28</v>
      </c>
      <c r="B385" s="5" t="n">
        <v>9425</v>
      </c>
      <c r="C385" s="5" t="s">
        <v>259</v>
      </c>
      <c r="D385" s="14" t="n">
        <v>46072</v>
      </c>
      <c r="E385" s="15" t="n">
        <v>-1.5</v>
      </c>
      <c r="F385" s="5" t="s">
        <v>270</v>
      </c>
      <c r="G385" s="5" t="s">
        <v>178</v>
      </c>
      <c r="H385" s="5" t="s">
        <v>189</v>
      </c>
      <c r="I385" s="5" t="s">
        <v>194</v>
      </c>
      <c r="J385" s="5" t="s">
        <v>199</v>
      </c>
      <c r="K385" s="16" t="n">
        <v>-45000</v>
      </c>
      <c r="L385" s="5" t="s">
        <v>260</v>
      </c>
      <c r="M385" s="17" t="n">
        <v>29991.0026991902</v>
      </c>
      <c r="N385" s="3" t="str">
        <f aca="false">IF(OR(K385="",M385=""),"",IF(C385="STATS_ONLY","stats",IF(ROUND(K385/M385,2)=E385,"OK","CHECK")))</f>
        <v>OK</v>
      </c>
      <c r="O385" s="3" t="str">
        <f aca="false">TEXT(D385,"yyyy-mm")</f>
        <v>2026-02</v>
      </c>
      <c r="P385" s="13"/>
    </row>
    <row r="386" customFormat="false" ht="15" hidden="false" customHeight="false" outlineLevel="0" collapsed="false">
      <c r="A386" s="5" t="s">
        <v>28</v>
      </c>
      <c r="B386" s="5" t="n">
        <v>9426</v>
      </c>
      <c r="C386" s="5" t="s">
        <v>259</v>
      </c>
      <c r="D386" s="14" t="n">
        <v>46072</v>
      </c>
      <c r="E386" s="15" t="n">
        <v>-1.33</v>
      </c>
      <c r="F386" s="5" t="s">
        <v>233</v>
      </c>
      <c r="G386" s="5" t="s">
        <v>178</v>
      </c>
      <c r="H386" s="5" t="s">
        <v>189</v>
      </c>
      <c r="I386" s="5" t="s">
        <v>194</v>
      </c>
      <c r="J386" s="5" t="s">
        <v>181</v>
      </c>
      <c r="K386" s="16" t="n">
        <v>-40000</v>
      </c>
      <c r="L386" s="5" t="s">
        <v>260</v>
      </c>
      <c r="M386" s="17" t="n">
        <v>29991.0026991902</v>
      </c>
      <c r="N386" s="3" t="str">
        <f aca="false">IF(OR(K386="",M386=""),"",IF(C386="STATS_ONLY","stats",IF(ROUND(K386/M386,2)=E386,"OK","CHECK")))</f>
        <v>OK</v>
      </c>
      <c r="O386" s="3" t="str">
        <f aca="false">TEXT(D386,"yyyy-mm")</f>
        <v>2026-02</v>
      </c>
      <c r="P386" s="13"/>
    </row>
    <row r="387" customFormat="false" ht="15" hidden="false" customHeight="false" outlineLevel="0" collapsed="false">
      <c r="A387" s="5" t="s">
        <v>28</v>
      </c>
      <c r="B387" s="5" t="n">
        <v>9427</v>
      </c>
      <c r="C387" s="5" t="s">
        <v>259</v>
      </c>
      <c r="D387" s="14" t="n">
        <v>46072</v>
      </c>
      <c r="E387" s="15" t="n">
        <v>-3</v>
      </c>
      <c r="F387" s="5" t="s">
        <v>228</v>
      </c>
      <c r="G387" s="5" t="s">
        <v>178</v>
      </c>
      <c r="H387" s="5" t="s">
        <v>189</v>
      </c>
      <c r="I387" s="5" t="s">
        <v>194</v>
      </c>
      <c r="J387" s="5" t="s">
        <v>229</v>
      </c>
      <c r="K387" s="16" t="n">
        <v>-90000</v>
      </c>
      <c r="L387" s="5" t="s">
        <v>260</v>
      </c>
      <c r="M387" s="17" t="n">
        <v>29991.0026991902</v>
      </c>
      <c r="N387" s="3" t="str">
        <f aca="false">IF(OR(K387="",M387=""),"",IF(C387="STATS_ONLY","stats",IF(ROUND(K387/M387,2)=E387,"OK","CHECK")))</f>
        <v>OK</v>
      </c>
      <c r="O387" s="3" t="str">
        <f aca="false">TEXT(D387,"yyyy-mm")</f>
        <v>2026-02</v>
      </c>
      <c r="P387" s="13"/>
    </row>
    <row r="388" customFormat="false" ht="15" hidden="false" customHeight="false" outlineLevel="0" collapsed="false">
      <c r="A388" s="5" t="s">
        <v>28</v>
      </c>
      <c r="B388" s="5" t="n">
        <v>9428</v>
      </c>
      <c r="C388" s="5" t="s">
        <v>259</v>
      </c>
      <c r="D388" s="14" t="n">
        <v>46073</v>
      </c>
      <c r="E388" s="15" t="n">
        <v>-1.5</v>
      </c>
      <c r="F388" s="5" t="s">
        <v>208</v>
      </c>
      <c r="G388" s="5" t="s">
        <v>178</v>
      </c>
      <c r="H388" s="5" t="s">
        <v>189</v>
      </c>
      <c r="I388" s="5" t="s">
        <v>194</v>
      </c>
      <c r="J388" s="5" t="s">
        <v>209</v>
      </c>
      <c r="K388" s="16" t="n">
        <v>-45000</v>
      </c>
      <c r="L388" s="5" t="s">
        <v>260</v>
      </c>
      <c r="M388" s="17" t="n">
        <v>29991.0026991902</v>
      </c>
      <c r="N388" s="3" t="str">
        <f aca="false">IF(OR(K388="",M388=""),"",IF(C388="STATS_ONLY","stats",IF(ROUND(K388/M388,2)=E388,"OK","CHECK")))</f>
        <v>OK</v>
      </c>
      <c r="O388" s="3" t="str">
        <f aca="false">TEXT(D388,"yyyy-mm")</f>
        <v>2026-02</v>
      </c>
      <c r="P388" s="13"/>
    </row>
    <row r="389" customFormat="false" ht="15" hidden="false" customHeight="false" outlineLevel="0" collapsed="false">
      <c r="A389" s="5" t="s">
        <v>28</v>
      </c>
      <c r="B389" s="5" t="n">
        <v>9429</v>
      </c>
      <c r="C389" s="5" t="s">
        <v>259</v>
      </c>
      <c r="D389" s="14" t="n">
        <v>46073</v>
      </c>
      <c r="E389" s="15" t="n">
        <v>-2.83</v>
      </c>
      <c r="F389" s="5" t="s">
        <v>223</v>
      </c>
      <c r="G389" s="5" t="s">
        <v>178</v>
      </c>
      <c r="H389" s="5" t="s">
        <v>189</v>
      </c>
      <c r="I389" s="5" t="s">
        <v>194</v>
      </c>
      <c r="J389" s="5" t="s">
        <v>206</v>
      </c>
      <c r="K389" s="16" t="n">
        <v>-85000</v>
      </c>
      <c r="L389" s="5" t="s">
        <v>260</v>
      </c>
      <c r="M389" s="17" t="n">
        <v>29991.0026991902</v>
      </c>
      <c r="N389" s="3" t="str">
        <f aca="false">IF(OR(K389="",M389=""),"",IF(C389="STATS_ONLY","stats",IF(ROUND(K389/M389,2)=E389,"OK","CHECK")))</f>
        <v>OK</v>
      </c>
      <c r="O389" s="3" t="str">
        <f aca="false">TEXT(D389,"yyyy-mm")</f>
        <v>2026-02</v>
      </c>
      <c r="P389" s="13"/>
    </row>
    <row r="390" customFormat="false" ht="15" hidden="false" customHeight="false" outlineLevel="0" collapsed="false">
      <c r="A390" s="5" t="s">
        <v>28</v>
      </c>
      <c r="B390" s="5" t="n">
        <v>9618</v>
      </c>
      <c r="C390" s="5" t="s">
        <v>152</v>
      </c>
      <c r="D390" s="14" t="n">
        <v>46073</v>
      </c>
      <c r="E390" s="15" t="n">
        <v>-152</v>
      </c>
      <c r="F390" s="5" t="s">
        <v>243</v>
      </c>
      <c r="G390" s="5" t="s">
        <v>163</v>
      </c>
      <c r="H390" s="5" t="s">
        <v>164</v>
      </c>
      <c r="I390" s="5" t="s">
        <v>244</v>
      </c>
      <c r="J390" s="5"/>
      <c r="K390" s="16"/>
      <c r="L390" s="5"/>
      <c r="M390" s="17"/>
      <c r="N390" s="3" t="str">
        <f aca="false">IF(OR(K390="",M390=""),"",IF(C390="STATS_ONLY","stats",IF(ROUND(K390/M390,2)=E390,"OK","CHECK")))</f>
        <v/>
      </c>
      <c r="O390" s="3" t="str">
        <f aca="false">TEXT(D390,"yyyy-mm")</f>
        <v>2026-02</v>
      </c>
      <c r="P390" s="13"/>
    </row>
    <row r="391" customFormat="false" ht="15" hidden="false" customHeight="false" outlineLevel="0" collapsed="false">
      <c r="A391" s="5" t="s">
        <v>28</v>
      </c>
      <c r="B391" s="5" t="n">
        <v>9619</v>
      </c>
      <c r="C391" s="5" t="s">
        <v>152</v>
      </c>
      <c r="D391" s="14" t="n">
        <v>46073</v>
      </c>
      <c r="E391" s="15" t="n">
        <v>131</v>
      </c>
      <c r="F391" s="5" t="s">
        <v>245</v>
      </c>
      <c r="G391" s="5" t="s">
        <v>163</v>
      </c>
      <c r="H391" s="5" t="s">
        <v>164</v>
      </c>
      <c r="I391" s="5" t="s">
        <v>244</v>
      </c>
      <c r="J391" s="5"/>
      <c r="K391" s="16"/>
      <c r="L391" s="5"/>
      <c r="M391" s="17"/>
      <c r="N391" s="3" t="str">
        <f aca="false">IF(OR(K391="",M391=""),"",IF(C391="STATS_ONLY","stats",IF(ROUND(K391/M391,2)=E391,"OK","CHECK")))</f>
        <v/>
      </c>
      <c r="O391" s="3" t="str">
        <f aca="false">TEXT(D391,"yyyy-mm")</f>
        <v>2026-02</v>
      </c>
      <c r="P391" s="13"/>
    </row>
    <row r="392" customFormat="false" ht="15" hidden="false" customHeight="false" outlineLevel="0" collapsed="false">
      <c r="A392" s="5" t="s">
        <v>28</v>
      </c>
      <c r="B392" s="5" t="n">
        <v>9430</v>
      </c>
      <c r="C392" s="5" t="s">
        <v>259</v>
      </c>
      <c r="D392" s="14" t="n">
        <v>46074</v>
      </c>
      <c r="E392" s="15" t="n">
        <v>-1.67</v>
      </c>
      <c r="F392" s="5" t="s">
        <v>273</v>
      </c>
      <c r="G392" s="5" t="s">
        <v>178</v>
      </c>
      <c r="H392" s="5" t="s">
        <v>189</v>
      </c>
      <c r="I392" s="5" t="s">
        <v>194</v>
      </c>
      <c r="J392" s="5" t="s">
        <v>195</v>
      </c>
      <c r="K392" s="16" t="n">
        <v>-50000</v>
      </c>
      <c r="L392" s="5" t="s">
        <v>260</v>
      </c>
      <c r="M392" s="17" t="n">
        <v>29991.0026991902</v>
      </c>
      <c r="N392" s="3" t="str">
        <f aca="false">IF(OR(K392="",M392=""),"",IF(C392="STATS_ONLY","stats",IF(ROUND(K392/M392,2)=E392,"OK","CHECK")))</f>
        <v>OK</v>
      </c>
      <c r="O392" s="3" t="str">
        <f aca="false">TEXT(D392,"yyyy-mm")</f>
        <v>2026-02</v>
      </c>
      <c r="P392" s="13"/>
    </row>
    <row r="393" customFormat="false" ht="15" hidden="false" customHeight="false" outlineLevel="0" collapsed="false">
      <c r="A393" s="5" t="s">
        <v>28</v>
      </c>
      <c r="B393" s="5" t="n">
        <v>9431</v>
      </c>
      <c r="C393" s="5" t="s">
        <v>259</v>
      </c>
      <c r="D393" s="14" t="n">
        <v>46074</v>
      </c>
      <c r="E393" s="15" t="n">
        <v>-4.5</v>
      </c>
      <c r="F393" s="5" t="s">
        <v>281</v>
      </c>
      <c r="G393" s="5" t="s">
        <v>178</v>
      </c>
      <c r="H393" s="5" t="s">
        <v>189</v>
      </c>
      <c r="I393" s="5" t="s">
        <v>194</v>
      </c>
      <c r="J393" s="5" t="s">
        <v>197</v>
      </c>
      <c r="K393" s="16" t="n">
        <v>-135000</v>
      </c>
      <c r="L393" s="5" t="s">
        <v>260</v>
      </c>
      <c r="M393" s="17" t="n">
        <v>29991.0026991902</v>
      </c>
      <c r="N393" s="3" t="str">
        <f aca="false">IF(OR(K393="",M393=""),"",IF(C393="STATS_ONLY","stats",IF(ROUND(K393/M393,2)=E393,"OK","CHECK")))</f>
        <v>OK</v>
      </c>
      <c r="O393" s="3" t="str">
        <f aca="false">TEXT(D393,"yyyy-mm")</f>
        <v>2026-02</v>
      </c>
      <c r="P393" s="13"/>
    </row>
    <row r="394" customFormat="false" ht="15" hidden="false" customHeight="false" outlineLevel="0" collapsed="false">
      <c r="A394" s="5" t="s">
        <v>28</v>
      </c>
      <c r="B394" s="5" t="n">
        <v>9432</v>
      </c>
      <c r="C394" s="5" t="s">
        <v>259</v>
      </c>
      <c r="D394" s="14" t="n">
        <v>46074</v>
      </c>
      <c r="E394" s="15" t="n">
        <v>-1.67</v>
      </c>
      <c r="F394" s="5" t="s">
        <v>218</v>
      </c>
      <c r="G394" s="5" t="s">
        <v>178</v>
      </c>
      <c r="H394" s="5" t="s">
        <v>189</v>
      </c>
      <c r="I394" s="5" t="s">
        <v>194</v>
      </c>
      <c r="J394" s="5" t="s">
        <v>199</v>
      </c>
      <c r="K394" s="16" t="n">
        <v>-50000</v>
      </c>
      <c r="L394" s="5" t="s">
        <v>260</v>
      </c>
      <c r="M394" s="17" t="n">
        <v>29991.0026991902</v>
      </c>
      <c r="N394" s="3" t="str">
        <f aca="false">IF(OR(K394="",M394=""),"",IF(C394="STATS_ONLY","stats",IF(ROUND(K394/M394,2)=E394,"OK","CHECK")))</f>
        <v>OK</v>
      </c>
      <c r="O394" s="3" t="str">
        <f aca="false">TEXT(D394,"yyyy-mm")</f>
        <v>2026-02</v>
      </c>
      <c r="P394" s="13"/>
    </row>
    <row r="395" customFormat="false" ht="15" hidden="false" customHeight="false" outlineLevel="0" collapsed="false">
      <c r="A395" s="5" t="s">
        <v>28</v>
      </c>
      <c r="B395" s="5" t="n">
        <v>9433</v>
      </c>
      <c r="C395" s="5" t="s">
        <v>259</v>
      </c>
      <c r="D395" s="14" t="n">
        <v>46074</v>
      </c>
      <c r="E395" s="15" t="n">
        <v>-0.67</v>
      </c>
      <c r="F395" s="5" t="s">
        <v>279</v>
      </c>
      <c r="G395" s="5" t="s">
        <v>178</v>
      </c>
      <c r="H395" s="5" t="s">
        <v>189</v>
      </c>
      <c r="I395" s="5" t="s">
        <v>194</v>
      </c>
      <c r="J395" s="5" t="s">
        <v>181</v>
      </c>
      <c r="K395" s="16" t="n">
        <v>-20000</v>
      </c>
      <c r="L395" s="5" t="s">
        <v>260</v>
      </c>
      <c r="M395" s="17" t="n">
        <v>29991.0026991902</v>
      </c>
      <c r="N395" s="3" t="str">
        <f aca="false">IF(OR(K395="",M395=""),"",IF(C395="STATS_ONLY","stats",IF(ROUND(K395/M395,2)=E395,"OK","CHECK")))</f>
        <v>OK</v>
      </c>
      <c r="O395" s="3" t="str">
        <f aca="false">TEXT(D395,"yyyy-mm")</f>
        <v>2026-02</v>
      </c>
      <c r="P395" s="13"/>
    </row>
    <row r="396" customFormat="false" ht="15" hidden="false" customHeight="false" outlineLevel="0" collapsed="false">
      <c r="A396" s="5" t="s">
        <v>28</v>
      </c>
      <c r="B396" s="5" t="n">
        <v>9434</v>
      </c>
      <c r="C396" s="5" t="s">
        <v>259</v>
      </c>
      <c r="D396" s="14" t="n">
        <v>46075</v>
      </c>
      <c r="E396" s="15" t="n">
        <v>-2.5</v>
      </c>
      <c r="F396" s="5" t="s">
        <v>280</v>
      </c>
      <c r="G396" s="5" t="s">
        <v>178</v>
      </c>
      <c r="H396" s="5" t="s">
        <v>189</v>
      </c>
      <c r="I396" s="5" t="s">
        <v>194</v>
      </c>
      <c r="J396" s="5" t="s">
        <v>209</v>
      </c>
      <c r="K396" s="16" t="n">
        <v>-75000</v>
      </c>
      <c r="L396" s="5" t="s">
        <v>260</v>
      </c>
      <c r="M396" s="17" t="n">
        <v>29991.0026991902</v>
      </c>
      <c r="N396" s="3" t="str">
        <f aca="false">IF(OR(K396="",M396=""),"",IF(C396="STATS_ONLY","stats",IF(ROUND(K396/M396,2)=E396,"OK","CHECK")))</f>
        <v>OK</v>
      </c>
      <c r="O396" s="3" t="str">
        <f aca="false">TEXT(D396,"yyyy-mm")</f>
        <v>2026-02</v>
      </c>
      <c r="P396" s="13"/>
    </row>
    <row r="397" customFormat="false" ht="15" hidden="false" customHeight="false" outlineLevel="0" collapsed="false">
      <c r="A397" s="5" t="s">
        <v>28</v>
      </c>
      <c r="B397" s="5" t="n">
        <v>9435</v>
      </c>
      <c r="C397" s="5" t="s">
        <v>259</v>
      </c>
      <c r="D397" s="14" t="n">
        <v>46075</v>
      </c>
      <c r="E397" s="15" t="n">
        <v>-1</v>
      </c>
      <c r="F397" s="5" t="s">
        <v>284</v>
      </c>
      <c r="G397" s="5" t="s">
        <v>178</v>
      </c>
      <c r="H397" s="5" t="s">
        <v>189</v>
      </c>
      <c r="I397" s="5" t="s">
        <v>194</v>
      </c>
      <c r="J397" s="5" t="s">
        <v>199</v>
      </c>
      <c r="K397" s="16" t="n">
        <v>-30000</v>
      </c>
      <c r="L397" s="5" t="s">
        <v>260</v>
      </c>
      <c r="M397" s="17" t="n">
        <v>29991.0026991902</v>
      </c>
      <c r="N397" s="3" t="str">
        <f aca="false">IF(OR(K397="",M397=""),"",IF(C397="STATS_ONLY","stats",IF(ROUND(K397/M397,2)=E397,"OK","CHECK")))</f>
        <v>OK</v>
      </c>
      <c r="O397" s="3" t="str">
        <f aca="false">TEXT(D397,"yyyy-mm")</f>
        <v>2026-02</v>
      </c>
      <c r="P397" s="13"/>
    </row>
    <row r="398" customFormat="false" ht="15" hidden="false" customHeight="false" outlineLevel="0" collapsed="false">
      <c r="A398" s="5" t="s">
        <v>28</v>
      </c>
      <c r="B398" s="5" t="n">
        <v>9436</v>
      </c>
      <c r="C398" s="5" t="s">
        <v>259</v>
      </c>
      <c r="D398" s="14" t="n">
        <v>46076</v>
      </c>
      <c r="E398" s="15" t="n">
        <v>-1.67</v>
      </c>
      <c r="F398" s="5" t="s">
        <v>278</v>
      </c>
      <c r="G398" s="5" t="s">
        <v>178</v>
      </c>
      <c r="H398" s="5" t="s">
        <v>189</v>
      </c>
      <c r="I398" s="5" t="s">
        <v>194</v>
      </c>
      <c r="J398" s="5" t="s">
        <v>195</v>
      </c>
      <c r="K398" s="16" t="n">
        <v>-50000</v>
      </c>
      <c r="L398" s="5" t="s">
        <v>260</v>
      </c>
      <c r="M398" s="17" t="n">
        <v>29991.0026991902</v>
      </c>
      <c r="N398" s="3" t="str">
        <f aca="false">IF(OR(K398="",M398=""),"",IF(C398="STATS_ONLY","stats",IF(ROUND(K398/M398,2)=E398,"OK","CHECK")))</f>
        <v>OK</v>
      </c>
      <c r="O398" s="3" t="str">
        <f aca="false">TEXT(D398,"yyyy-mm")</f>
        <v>2026-02</v>
      </c>
      <c r="P398" s="13"/>
    </row>
    <row r="399" customFormat="false" ht="15" hidden="false" customHeight="false" outlineLevel="0" collapsed="false">
      <c r="A399" s="5" t="s">
        <v>28</v>
      </c>
      <c r="B399" s="5" t="n">
        <v>9437</v>
      </c>
      <c r="C399" s="5" t="s">
        <v>259</v>
      </c>
      <c r="D399" s="14" t="n">
        <v>46076</v>
      </c>
      <c r="E399" s="15" t="n">
        <v>-2.5</v>
      </c>
      <c r="F399" s="5" t="s">
        <v>286</v>
      </c>
      <c r="G399" s="5" t="s">
        <v>178</v>
      </c>
      <c r="H399" s="5" t="s">
        <v>189</v>
      </c>
      <c r="I399" s="5" t="s">
        <v>194</v>
      </c>
      <c r="J399" s="5" t="s">
        <v>209</v>
      </c>
      <c r="K399" s="16" t="n">
        <v>-75000</v>
      </c>
      <c r="L399" s="5" t="s">
        <v>260</v>
      </c>
      <c r="M399" s="17" t="n">
        <v>29991.0026991902</v>
      </c>
      <c r="N399" s="3" t="str">
        <f aca="false">IF(OR(K399="",M399=""),"",IF(C399="STATS_ONLY","stats",IF(ROUND(K399/M399,2)=E399,"OK","CHECK")))</f>
        <v>OK</v>
      </c>
      <c r="O399" s="3" t="str">
        <f aca="false">TEXT(D399,"yyyy-mm")</f>
        <v>2026-02</v>
      </c>
      <c r="P399" s="13"/>
    </row>
    <row r="400" customFormat="false" ht="15" hidden="false" customHeight="false" outlineLevel="0" collapsed="false">
      <c r="A400" s="5" t="s">
        <v>28</v>
      </c>
      <c r="B400" s="5" t="n">
        <v>9438</v>
      </c>
      <c r="C400" s="5" t="s">
        <v>259</v>
      </c>
      <c r="D400" s="14" t="n">
        <v>46076</v>
      </c>
      <c r="E400" s="15" t="n">
        <v>-2.5</v>
      </c>
      <c r="F400" s="5" t="s">
        <v>217</v>
      </c>
      <c r="G400" s="5" t="s">
        <v>178</v>
      </c>
      <c r="H400" s="5" t="s">
        <v>189</v>
      </c>
      <c r="I400" s="5" t="s">
        <v>194</v>
      </c>
      <c r="J400" s="5" t="s">
        <v>197</v>
      </c>
      <c r="K400" s="16" t="n">
        <v>-75000</v>
      </c>
      <c r="L400" s="5" t="s">
        <v>260</v>
      </c>
      <c r="M400" s="17" t="n">
        <v>29991.0026991902</v>
      </c>
      <c r="N400" s="3" t="str">
        <f aca="false">IF(OR(K400="",M400=""),"",IF(C400="STATS_ONLY","stats",IF(ROUND(K400/M400,2)=E400,"OK","CHECK")))</f>
        <v>OK</v>
      </c>
      <c r="O400" s="3" t="str">
        <f aca="false">TEXT(D400,"yyyy-mm")</f>
        <v>2026-02</v>
      </c>
      <c r="P400" s="13"/>
    </row>
    <row r="401" customFormat="false" ht="15" hidden="false" customHeight="false" outlineLevel="0" collapsed="false">
      <c r="A401" s="5" t="s">
        <v>28</v>
      </c>
      <c r="B401" s="5" t="n">
        <v>9439</v>
      </c>
      <c r="C401" s="5" t="s">
        <v>259</v>
      </c>
      <c r="D401" s="14" t="n">
        <v>46076</v>
      </c>
      <c r="E401" s="15" t="n">
        <v>-1</v>
      </c>
      <c r="F401" s="5" t="s">
        <v>284</v>
      </c>
      <c r="G401" s="5" t="s">
        <v>178</v>
      </c>
      <c r="H401" s="5" t="s">
        <v>189</v>
      </c>
      <c r="I401" s="5" t="s">
        <v>194</v>
      </c>
      <c r="J401" s="5" t="s">
        <v>199</v>
      </c>
      <c r="K401" s="16" t="n">
        <v>-30000</v>
      </c>
      <c r="L401" s="5" t="s">
        <v>260</v>
      </c>
      <c r="M401" s="17" t="n">
        <v>29991.0026991902</v>
      </c>
      <c r="N401" s="3" t="str">
        <f aca="false">IF(OR(K401="",M401=""),"",IF(C401="STATS_ONLY","stats",IF(ROUND(K401/M401,2)=E401,"OK","CHECK")))</f>
        <v>OK</v>
      </c>
      <c r="O401" s="3" t="str">
        <f aca="false">TEXT(D401,"yyyy-mm")</f>
        <v>2026-02</v>
      </c>
      <c r="P401" s="13"/>
    </row>
    <row r="402" customFormat="false" ht="15" hidden="false" customHeight="false" outlineLevel="0" collapsed="false">
      <c r="A402" s="5" t="s">
        <v>28</v>
      </c>
      <c r="B402" s="5" t="n">
        <v>9440</v>
      </c>
      <c r="C402" s="5" t="s">
        <v>259</v>
      </c>
      <c r="D402" s="14" t="n">
        <v>46076</v>
      </c>
      <c r="E402" s="15" t="n">
        <v>-6.5</v>
      </c>
      <c r="F402" s="5" t="s">
        <v>236</v>
      </c>
      <c r="G402" s="5" t="s">
        <v>178</v>
      </c>
      <c r="H402" s="5" t="s">
        <v>189</v>
      </c>
      <c r="I402" s="5" t="s">
        <v>194</v>
      </c>
      <c r="J402" s="5" t="s">
        <v>237</v>
      </c>
      <c r="K402" s="16" t="n">
        <v>-195000</v>
      </c>
      <c r="L402" s="5" t="s">
        <v>260</v>
      </c>
      <c r="M402" s="17" t="n">
        <v>29991.0026991902</v>
      </c>
      <c r="N402" s="3" t="str">
        <f aca="false">IF(OR(K402="",M402=""),"",IF(C402="STATS_ONLY","stats",IF(ROUND(K402/M402,2)=E402,"OK","CHECK")))</f>
        <v>OK</v>
      </c>
      <c r="O402" s="3" t="str">
        <f aca="false">TEXT(D402,"yyyy-mm")</f>
        <v>2026-02</v>
      </c>
      <c r="P402" s="13"/>
    </row>
    <row r="403" customFormat="false" ht="15" hidden="false" customHeight="false" outlineLevel="0" collapsed="false">
      <c r="A403" s="5" t="s">
        <v>28</v>
      </c>
      <c r="B403" s="5" t="n">
        <v>9617</v>
      </c>
      <c r="C403" s="5" t="s">
        <v>152</v>
      </c>
      <c r="D403" s="14" t="n">
        <v>46076</v>
      </c>
      <c r="E403" s="15" t="n">
        <v>-7</v>
      </c>
      <c r="F403" s="5" t="s">
        <v>249</v>
      </c>
      <c r="G403" s="5" t="s">
        <v>163</v>
      </c>
      <c r="H403" s="5" t="s">
        <v>164</v>
      </c>
      <c r="I403" s="5" t="s">
        <v>250</v>
      </c>
      <c r="J403" s="5"/>
      <c r="K403" s="16"/>
      <c r="L403" s="5"/>
      <c r="M403" s="17"/>
      <c r="N403" s="3" t="str">
        <f aca="false">IF(OR(K403="",M403=""),"",IF(C403="STATS_ONLY","stats",IF(ROUND(K403/M403,2)=E403,"OK","CHECK")))</f>
        <v/>
      </c>
      <c r="O403" s="3" t="str">
        <f aca="false">TEXT(D403,"yyyy-mm")</f>
        <v>2026-02</v>
      </c>
      <c r="P403" s="13"/>
    </row>
    <row r="404" customFormat="false" ht="15" hidden="false" customHeight="false" outlineLevel="0" collapsed="false">
      <c r="A404" s="5" t="s">
        <v>28</v>
      </c>
      <c r="B404" s="5" t="n">
        <v>9441</v>
      </c>
      <c r="C404" s="5" t="s">
        <v>259</v>
      </c>
      <c r="D404" s="14" t="n">
        <v>46077</v>
      </c>
      <c r="E404" s="15" t="n">
        <v>-2.83</v>
      </c>
      <c r="F404" s="5" t="s">
        <v>280</v>
      </c>
      <c r="G404" s="5" t="s">
        <v>178</v>
      </c>
      <c r="H404" s="5" t="s">
        <v>189</v>
      </c>
      <c r="I404" s="5" t="s">
        <v>194</v>
      </c>
      <c r="J404" s="5" t="s">
        <v>209</v>
      </c>
      <c r="K404" s="16" t="n">
        <v>-85000</v>
      </c>
      <c r="L404" s="5" t="s">
        <v>260</v>
      </c>
      <c r="M404" s="17" t="n">
        <v>29991.0026991902</v>
      </c>
      <c r="N404" s="3" t="str">
        <f aca="false">IF(OR(K404="",M404=""),"",IF(C404="STATS_ONLY","stats",IF(ROUND(K404/M404,2)=E404,"OK","CHECK")))</f>
        <v>OK</v>
      </c>
      <c r="O404" s="3" t="str">
        <f aca="false">TEXT(D404,"yyyy-mm")</f>
        <v>2026-02</v>
      </c>
      <c r="P404" s="13"/>
    </row>
    <row r="405" customFormat="false" ht="15" hidden="false" customHeight="false" outlineLevel="0" collapsed="false">
      <c r="A405" s="5" t="s">
        <v>28</v>
      </c>
      <c r="B405" s="5" t="n">
        <v>9442</v>
      </c>
      <c r="C405" s="5" t="s">
        <v>259</v>
      </c>
      <c r="D405" s="14" t="n">
        <v>46077</v>
      </c>
      <c r="E405" s="15" t="n">
        <v>-0.83</v>
      </c>
      <c r="F405" s="5" t="s">
        <v>270</v>
      </c>
      <c r="G405" s="5" t="s">
        <v>178</v>
      </c>
      <c r="H405" s="5" t="s">
        <v>189</v>
      </c>
      <c r="I405" s="5" t="s">
        <v>194</v>
      </c>
      <c r="J405" s="5" t="s">
        <v>199</v>
      </c>
      <c r="K405" s="16" t="n">
        <v>-25000</v>
      </c>
      <c r="L405" s="5" t="s">
        <v>260</v>
      </c>
      <c r="M405" s="17" t="n">
        <v>29991.0026991902</v>
      </c>
      <c r="N405" s="3" t="str">
        <f aca="false">IF(OR(K405="",M405=""),"",IF(C405="STATS_ONLY","stats",IF(ROUND(K405/M405,2)=E405,"OK","CHECK")))</f>
        <v>OK</v>
      </c>
      <c r="O405" s="3" t="str">
        <f aca="false">TEXT(D405,"yyyy-mm")</f>
        <v>2026-02</v>
      </c>
      <c r="P405" s="13"/>
    </row>
    <row r="406" customFormat="false" ht="15" hidden="false" customHeight="false" outlineLevel="0" collapsed="false">
      <c r="A406" s="5" t="s">
        <v>28</v>
      </c>
      <c r="B406" s="5" t="n">
        <v>9443</v>
      </c>
      <c r="C406" s="5" t="s">
        <v>259</v>
      </c>
      <c r="D406" s="14" t="n">
        <v>46079</v>
      </c>
      <c r="E406" s="15" t="n">
        <v>-6.84</v>
      </c>
      <c r="F406" s="5" t="s">
        <v>236</v>
      </c>
      <c r="G406" s="5" t="s">
        <v>178</v>
      </c>
      <c r="H406" s="5" t="s">
        <v>189</v>
      </c>
      <c r="I406" s="5" t="s">
        <v>194</v>
      </c>
      <c r="J406" s="5" t="s">
        <v>237</v>
      </c>
      <c r="K406" s="16" t="n">
        <v>-205000</v>
      </c>
      <c r="L406" s="5" t="s">
        <v>260</v>
      </c>
      <c r="M406" s="17" t="n">
        <v>29991.0026991902</v>
      </c>
      <c r="N406" s="3" t="str">
        <f aca="false">IF(OR(K406="",M406=""),"",IF(C406="STATS_ONLY","stats",IF(ROUND(K406/M406,2)=E406,"OK","CHECK")))</f>
        <v>OK</v>
      </c>
      <c r="O406" s="3" t="str">
        <f aca="false">TEXT(D406,"yyyy-mm")</f>
        <v>2026-02</v>
      </c>
      <c r="P406" s="13"/>
    </row>
    <row r="407" customFormat="false" ht="15" hidden="false" customHeight="false" outlineLevel="0" collapsed="false">
      <c r="A407" s="5" t="s">
        <v>28</v>
      </c>
      <c r="B407" s="5" t="n">
        <v>9444</v>
      </c>
      <c r="C407" s="5" t="s">
        <v>259</v>
      </c>
      <c r="D407" s="14" t="n">
        <v>46080</v>
      </c>
      <c r="E407" s="15" t="n">
        <v>-2.17</v>
      </c>
      <c r="F407" s="5" t="s">
        <v>280</v>
      </c>
      <c r="G407" s="5" t="s">
        <v>178</v>
      </c>
      <c r="H407" s="5" t="s">
        <v>189</v>
      </c>
      <c r="I407" s="5" t="s">
        <v>194</v>
      </c>
      <c r="J407" s="5" t="s">
        <v>209</v>
      </c>
      <c r="K407" s="16" t="n">
        <v>-65000</v>
      </c>
      <c r="L407" s="5" t="s">
        <v>260</v>
      </c>
      <c r="M407" s="17" t="n">
        <v>29991.0026991902</v>
      </c>
      <c r="N407" s="3" t="str">
        <f aca="false">IF(OR(K407="",M407=""),"",IF(C407="STATS_ONLY","stats",IF(ROUND(K407/M407,2)=E407,"OK","CHECK")))</f>
        <v>OK</v>
      </c>
      <c r="O407" s="3" t="str">
        <f aca="false">TEXT(D407,"yyyy-mm")</f>
        <v>2026-02</v>
      </c>
      <c r="P407" s="13"/>
    </row>
    <row r="408" customFormat="false" ht="15" hidden="false" customHeight="false" outlineLevel="0" collapsed="false">
      <c r="A408" s="5" t="s">
        <v>28</v>
      </c>
      <c r="B408" s="5" t="n">
        <v>9445</v>
      </c>
      <c r="C408" s="5" t="s">
        <v>259</v>
      </c>
      <c r="D408" s="14" t="n">
        <v>46080</v>
      </c>
      <c r="E408" s="15" t="n">
        <v>-1.33</v>
      </c>
      <c r="F408" s="5" t="s">
        <v>263</v>
      </c>
      <c r="G408" s="5" t="s">
        <v>178</v>
      </c>
      <c r="H408" s="5" t="s">
        <v>189</v>
      </c>
      <c r="I408" s="5" t="s">
        <v>194</v>
      </c>
      <c r="J408" s="5" t="s">
        <v>181</v>
      </c>
      <c r="K408" s="16" t="n">
        <v>-40000</v>
      </c>
      <c r="L408" s="5" t="s">
        <v>260</v>
      </c>
      <c r="M408" s="17" t="n">
        <v>29991.0026991902</v>
      </c>
      <c r="N408" s="3" t="str">
        <f aca="false">IF(OR(K408="",M408=""),"",IF(C408="STATS_ONLY","stats",IF(ROUND(K408/M408,2)=E408,"OK","CHECK")))</f>
        <v>OK</v>
      </c>
      <c r="O408" s="3" t="str">
        <f aca="false">TEXT(D408,"yyyy-mm")</f>
        <v>2026-02</v>
      </c>
      <c r="P408" s="13"/>
    </row>
    <row r="409" customFormat="false" ht="15" hidden="false" customHeight="false" outlineLevel="0" collapsed="false">
      <c r="A409" s="5" t="s">
        <v>28</v>
      </c>
      <c r="B409" s="5" t="n">
        <v>9446</v>
      </c>
      <c r="C409" s="5" t="s">
        <v>259</v>
      </c>
      <c r="D409" s="14" t="n">
        <v>46081</v>
      </c>
      <c r="E409" s="15" t="n">
        <v>-2.17</v>
      </c>
      <c r="F409" s="5" t="s">
        <v>278</v>
      </c>
      <c r="G409" s="5" t="s">
        <v>178</v>
      </c>
      <c r="H409" s="5" t="s">
        <v>189</v>
      </c>
      <c r="I409" s="5" t="s">
        <v>194</v>
      </c>
      <c r="J409" s="5" t="s">
        <v>195</v>
      </c>
      <c r="K409" s="16" t="n">
        <v>-65000</v>
      </c>
      <c r="L409" s="5" t="s">
        <v>260</v>
      </c>
      <c r="M409" s="17" t="n">
        <v>29991.0026991902</v>
      </c>
      <c r="N409" s="3" t="str">
        <f aca="false">IF(OR(K409="",M409=""),"",IF(C409="STATS_ONLY","stats",IF(ROUND(K409/M409,2)=E409,"OK","CHECK")))</f>
        <v>OK</v>
      </c>
      <c r="O409" s="3" t="str">
        <f aca="false">TEXT(D409,"yyyy-mm")</f>
        <v>2026-02</v>
      </c>
      <c r="P409" s="13"/>
    </row>
    <row r="410" customFormat="false" ht="15" hidden="false" customHeight="false" outlineLevel="0" collapsed="false">
      <c r="A410" s="5" t="s">
        <v>28</v>
      </c>
      <c r="B410" s="5" t="n">
        <v>9447</v>
      </c>
      <c r="C410" s="5" t="s">
        <v>259</v>
      </c>
      <c r="D410" s="14" t="n">
        <v>46081</v>
      </c>
      <c r="E410" s="15" t="n">
        <v>-0.83</v>
      </c>
      <c r="F410" s="5" t="s">
        <v>270</v>
      </c>
      <c r="G410" s="5" t="s">
        <v>178</v>
      </c>
      <c r="H410" s="5" t="s">
        <v>189</v>
      </c>
      <c r="I410" s="5" t="s">
        <v>194</v>
      </c>
      <c r="J410" s="5" t="s">
        <v>199</v>
      </c>
      <c r="K410" s="16" t="n">
        <v>-25000</v>
      </c>
      <c r="L410" s="5" t="s">
        <v>260</v>
      </c>
      <c r="M410" s="17" t="n">
        <v>29991.0026991902</v>
      </c>
      <c r="N410" s="3" t="str">
        <f aca="false">IF(OR(K410="",M410=""),"",IF(C410="STATS_ONLY","stats",IF(ROUND(K410/M410,2)=E410,"OK","CHECK")))</f>
        <v>OK</v>
      </c>
      <c r="O410" s="3" t="str">
        <f aca="false">TEXT(D410,"yyyy-mm")</f>
        <v>2026-02</v>
      </c>
      <c r="P410" s="13"/>
    </row>
    <row r="411" customFormat="false" ht="15" hidden="false" customHeight="false" outlineLevel="0" collapsed="false">
      <c r="A411" s="5" t="s">
        <v>28</v>
      </c>
      <c r="B411" s="5" t="n">
        <v>9448</v>
      </c>
      <c r="C411" s="5" t="s">
        <v>259</v>
      </c>
      <c r="D411" s="14" t="n">
        <v>46082</v>
      </c>
      <c r="E411" s="15" t="n">
        <v>-1.5</v>
      </c>
      <c r="F411" s="5" t="s">
        <v>278</v>
      </c>
      <c r="G411" s="5" t="s">
        <v>178</v>
      </c>
      <c r="H411" s="5" t="s">
        <v>189</v>
      </c>
      <c r="I411" s="5" t="s">
        <v>194</v>
      </c>
      <c r="J411" s="5" t="s">
        <v>195</v>
      </c>
      <c r="K411" s="16" t="n">
        <v>-45000</v>
      </c>
      <c r="L411" s="5" t="s">
        <v>260</v>
      </c>
      <c r="M411" s="17" t="n">
        <v>29991.0026991902</v>
      </c>
      <c r="N411" s="3" t="str">
        <f aca="false">IF(OR(K411="",M411=""),"",IF(C411="STATS_ONLY","stats",IF(ROUND(K411/M411,2)=E411,"OK","CHECK")))</f>
        <v>OK</v>
      </c>
      <c r="O411" s="3" t="str">
        <f aca="false">TEXT(D411,"yyyy-mm")</f>
        <v>2026-03</v>
      </c>
      <c r="P411" s="13"/>
    </row>
    <row r="412" customFormat="false" ht="15" hidden="false" customHeight="false" outlineLevel="0" collapsed="false">
      <c r="A412" s="5" t="s">
        <v>28</v>
      </c>
      <c r="B412" s="5" t="n">
        <v>9449</v>
      </c>
      <c r="C412" s="5" t="s">
        <v>259</v>
      </c>
      <c r="D412" s="14" t="n">
        <v>46082</v>
      </c>
      <c r="E412" s="15" t="n">
        <v>-1.67</v>
      </c>
      <c r="F412" s="5" t="s">
        <v>284</v>
      </c>
      <c r="G412" s="5" t="s">
        <v>178</v>
      </c>
      <c r="H412" s="5" t="s">
        <v>189</v>
      </c>
      <c r="I412" s="5" t="s">
        <v>194</v>
      </c>
      <c r="J412" s="5" t="s">
        <v>199</v>
      </c>
      <c r="K412" s="16" t="n">
        <v>-50000</v>
      </c>
      <c r="L412" s="5" t="s">
        <v>260</v>
      </c>
      <c r="M412" s="17" t="n">
        <v>29991.0026991902</v>
      </c>
      <c r="N412" s="3" t="str">
        <f aca="false">IF(OR(K412="",M412=""),"",IF(C412="STATS_ONLY","stats",IF(ROUND(K412/M412,2)=E412,"OK","CHECK")))</f>
        <v>OK</v>
      </c>
      <c r="O412" s="3" t="str">
        <f aca="false">TEXT(D412,"yyyy-mm")</f>
        <v>2026-03</v>
      </c>
      <c r="P412" s="13"/>
    </row>
    <row r="413" customFormat="false" ht="15" hidden="false" customHeight="false" outlineLevel="0" collapsed="false">
      <c r="A413" s="5" t="s">
        <v>28</v>
      </c>
      <c r="B413" s="5" t="n">
        <v>9620</v>
      </c>
      <c r="C413" s="5" t="s">
        <v>152</v>
      </c>
      <c r="D413" s="14" t="n">
        <v>46082</v>
      </c>
      <c r="E413" s="15" t="n">
        <v>-15</v>
      </c>
      <c r="F413" s="5" t="s">
        <v>162</v>
      </c>
      <c r="G413" s="5" t="s">
        <v>163</v>
      </c>
      <c r="H413" s="5" t="s">
        <v>164</v>
      </c>
      <c r="I413" s="5" t="s">
        <v>165</v>
      </c>
      <c r="J413" s="5"/>
      <c r="K413" s="16"/>
      <c r="L413" s="5"/>
      <c r="M413" s="17"/>
      <c r="N413" s="3" t="str">
        <f aca="false">IF(OR(K413="",M413=""),"",IF(C413="STATS_ONLY","stats",IF(ROUND(K413/M413,2)=E413,"OK","CHECK")))</f>
        <v/>
      </c>
      <c r="O413" s="3" t="str">
        <f aca="false">TEXT(D413,"yyyy-mm")</f>
        <v>2026-03</v>
      </c>
      <c r="P413" s="13"/>
    </row>
    <row r="414" customFormat="false" ht="15" hidden="false" customHeight="false" outlineLevel="0" collapsed="false">
      <c r="A414" s="5" t="s">
        <v>28</v>
      </c>
      <c r="B414" s="5" t="n">
        <v>9621</v>
      </c>
      <c r="C414" s="5" t="s">
        <v>152</v>
      </c>
      <c r="D414" s="14" t="n">
        <v>46082</v>
      </c>
      <c r="E414" s="15" t="n">
        <v>-100</v>
      </c>
      <c r="F414" s="5" t="s">
        <v>166</v>
      </c>
      <c r="G414" s="5" t="s">
        <v>167</v>
      </c>
      <c r="H414" s="5" t="s">
        <v>167</v>
      </c>
      <c r="I414" s="5" t="s">
        <v>168</v>
      </c>
      <c r="J414" s="5"/>
      <c r="K414" s="16"/>
      <c r="L414" s="5"/>
      <c r="M414" s="17"/>
      <c r="N414" s="3" t="str">
        <f aca="false">IF(OR(K414="",M414=""),"",IF(C414="STATS_ONLY","stats",IF(ROUND(K414/M414,2)=E414,"OK","CHECK")))</f>
        <v/>
      </c>
      <c r="O414" s="3" t="str">
        <f aca="false">TEXT(D414,"yyyy-mm")</f>
        <v>2026-03</v>
      </c>
      <c r="P414" s="13" t="s">
        <v>169</v>
      </c>
    </row>
    <row r="415" customFormat="false" ht="15" hidden="false" customHeight="false" outlineLevel="0" collapsed="false">
      <c r="A415" s="5" t="s">
        <v>28</v>
      </c>
      <c r="B415" s="5" t="n">
        <v>9621</v>
      </c>
      <c r="C415" s="5" t="s">
        <v>158</v>
      </c>
      <c r="D415" s="14" t="n">
        <v>46082</v>
      </c>
      <c r="E415" s="15" t="n">
        <v>100</v>
      </c>
      <c r="F415" s="5" t="s">
        <v>166</v>
      </c>
      <c r="G415" s="5" t="s">
        <v>167</v>
      </c>
      <c r="H415" s="5" t="s">
        <v>167</v>
      </c>
      <c r="I415" s="5" t="s">
        <v>168</v>
      </c>
      <c r="J415" s="5"/>
      <c r="K415" s="16"/>
      <c r="L415" s="5"/>
      <c r="M415" s="17"/>
      <c r="N415" s="3" t="str">
        <f aca="false">IF(OR(K415="",M415=""),"",IF(C415="STATS_ONLY","stats",IF(ROUND(K415/M415,2)=E415,"OK","CHECK")))</f>
        <v/>
      </c>
      <c r="O415" s="3" t="str">
        <f aca="false">TEXT(D415,"yyyy-mm")</f>
        <v>2026-03</v>
      </c>
      <c r="P415" s="13" t="s">
        <v>170</v>
      </c>
    </row>
    <row r="416" customFormat="false" ht="15" hidden="false" customHeight="false" outlineLevel="0" collapsed="false">
      <c r="A416" s="5" t="s">
        <v>28</v>
      </c>
      <c r="B416" s="5" t="n">
        <v>9450</v>
      </c>
      <c r="C416" s="5" t="s">
        <v>259</v>
      </c>
      <c r="D416" s="14" t="n">
        <v>46083</v>
      </c>
      <c r="E416" s="15" t="n">
        <v>-1.33</v>
      </c>
      <c r="F416" s="5" t="s">
        <v>273</v>
      </c>
      <c r="G416" s="5" t="s">
        <v>178</v>
      </c>
      <c r="H416" s="5" t="s">
        <v>189</v>
      </c>
      <c r="I416" s="5" t="s">
        <v>194</v>
      </c>
      <c r="J416" s="5" t="s">
        <v>195</v>
      </c>
      <c r="K416" s="16" t="n">
        <v>-40000</v>
      </c>
      <c r="L416" s="5" t="s">
        <v>260</v>
      </c>
      <c r="M416" s="17" t="n">
        <v>29991.0026991902</v>
      </c>
      <c r="N416" s="3" t="str">
        <f aca="false">IF(OR(K416="",M416=""),"",IF(C416="STATS_ONLY","stats",IF(ROUND(K416/M416,2)=E416,"OK","CHECK")))</f>
        <v>OK</v>
      </c>
      <c r="O416" s="3" t="str">
        <f aca="false">TEXT(D416,"yyyy-mm")</f>
        <v>2026-03</v>
      </c>
      <c r="P416" s="13"/>
    </row>
    <row r="417" customFormat="false" ht="15" hidden="false" customHeight="false" outlineLevel="0" collapsed="false">
      <c r="A417" s="5" t="s">
        <v>28</v>
      </c>
      <c r="B417" s="5" t="n">
        <v>9451</v>
      </c>
      <c r="C417" s="5" t="s">
        <v>259</v>
      </c>
      <c r="D417" s="14" t="n">
        <v>46083</v>
      </c>
      <c r="E417" s="15" t="n">
        <v>-4</v>
      </c>
      <c r="F417" s="5" t="s">
        <v>281</v>
      </c>
      <c r="G417" s="5" t="s">
        <v>178</v>
      </c>
      <c r="H417" s="5" t="s">
        <v>189</v>
      </c>
      <c r="I417" s="5" t="s">
        <v>194</v>
      </c>
      <c r="J417" s="5" t="s">
        <v>197</v>
      </c>
      <c r="K417" s="16" t="n">
        <v>-120000</v>
      </c>
      <c r="L417" s="5" t="s">
        <v>260</v>
      </c>
      <c r="M417" s="17" t="n">
        <v>29991.0026991902</v>
      </c>
      <c r="N417" s="3" t="str">
        <f aca="false">IF(OR(K417="",M417=""),"",IF(C417="STATS_ONLY","stats",IF(ROUND(K417/M417,2)=E417,"OK","CHECK")))</f>
        <v>OK</v>
      </c>
      <c r="O417" s="3" t="str">
        <f aca="false">TEXT(D417,"yyyy-mm")</f>
        <v>2026-03</v>
      </c>
      <c r="P417" s="13"/>
    </row>
    <row r="418" customFormat="false" ht="15" hidden="false" customHeight="false" outlineLevel="0" collapsed="false">
      <c r="A418" s="5" t="s">
        <v>28</v>
      </c>
      <c r="B418" s="5" t="n">
        <v>9452</v>
      </c>
      <c r="C418" s="5" t="s">
        <v>259</v>
      </c>
      <c r="D418" s="14" t="n">
        <v>46083</v>
      </c>
      <c r="E418" s="15" t="n">
        <v>-1.67</v>
      </c>
      <c r="F418" s="5" t="s">
        <v>284</v>
      </c>
      <c r="G418" s="5" t="s">
        <v>178</v>
      </c>
      <c r="H418" s="5" t="s">
        <v>189</v>
      </c>
      <c r="I418" s="5" t="s">
        <v>194</v>
      </c>
      <c r="J418" s="5" t="s">
        <v>199</v>
      </c>
      <c r="K418" s="16" t="n">
        <v>-50000</v>
      </c>
      <c r="L418" s="5" t="s">
        <v>260</v>
      </c>
      <c r="M418" s="17" t="n">
        <v>29991.0026991902</v>
      </c>
      <c r="N418" s="3" t="str">
        <f aca="false">IF(OR(K418="",M418=""),"",IF(C418="STATS_ONLY","stats",IF(ROUND(K418/M418,2)=E418,"OK","CHECK")))</f>
        <v>OK</v>
      </c>
      <c r="O418" s="3" t="str">
        <f aca="false">TEXT(D418,"yyyy-mm")</f>
        <v>2026-03</v>
      </c>
      <c r="P418" s="13"/>
    </row>
    <row r="419" customFormat="false" ht="15" hidden="false" customHeight="false" outlineLevel="0" collapsed="false">
      <c r="A419" s="5" t="s">
        <v>28</v>
      </c>
      <c r="B419" s="5" t="n">
        <v>9453</v>
      </c>
      <c r="C419" s="5" t="s">
        <v>259</v>
      </c>
      <c r="D419" s="14" t="n">
        <v>46084</v>
      </c>
      <c r="E419" s="15" t="n">
        <v>-2.5</v>
      </c>
      <c r="F419" s="5" t="s">
        <v>262</v>
      </c>
      <c r="G419" s="5" t="s">
        <v>178</v>
      </c>
      <c r="H419" s="5" t="s">
        <v>189</v>
      </c>
      <c r="I419" s="5" t="s">
        <v>194</v>
      </c>
      <c r="J419" s="5" t="s">
        <v>209</v>
      </c>
      <c r="K419" s="16" t="n">
        <v>-75000</v>
      </c>
      <c r="L419" s="5" t="s">
        <v>260</v>
      </c>
      <c r="M419" s="17" t="n">
        <v>29991.0026991902</v>
      </c>
      <c r="N419" s="3" t="str">
        <f aca="false">IF(OR(K419="",M419=""),"",IF(C419="STATS_ONLY","stats",IF(ROUND(K419/M419,2)=E419,"OK","CHECK")))</f>
        <v>OK</v>
      </c>
      <c r="O419" s="3" t="str">
        <f aca="false">TEXT(D419,"yyyy-mm")</f>
        <v>2026-03</v>
      </c>
      <c r="P419" s="13"/>
    </row>
    <row r="420" customFormat="false" ht="15" hidden="false" customHeight="false" outlineLevel="0" collapsed="false">
      <c r="A420" s="5" t="s">
        <v>28</v>
      </c>
      <c r="B420" s="5" t="n">
        <v>9454</v>
      </c>
      <c r="C420" s="5" t="s">
        <v>259</v>
      </c>
      <c r="D420" s="14" t="n">
        <v>46084</v>
      </c>
      <c r="E420" s="15" t="n">
        <v>-3</v>
      </c>
      <c r="F420" s="5" t="s">
        <v>272</v>
      </c>
      <c r="G420" s="5" t="s">
        <v>178</v>
      </c>
      <c r="H420" s="5" t="s">
        <v>189</v>
      </c>
      <c r="I420" s="5" t="s">
        <v>194</v>
      </c>
      <c r="J420" s="5" t="s">
        <v>197</v>
      </c>
      <c r="K420" s="16" t="n">
        <v>-90000</v>
      </c>
      <c r="L420" s="5" t="s">
        <v>260</v>
      </c>
      <c r="M420" s="17" t="n">
        <v>29991.0026991902</v>
      </c>
      <c r="N420" s="3" t="str">
        <f aca="false">IF(OR(K420="",M420=""),"",IF(C420="STATS_ONLY","stats",IF(ROUND(K420/M420,2)=E420,"OK","CHECK")))</f>
        <v>OK</v>
      </c>
      <c r="O420" s="3" t="str">
        <f aca="false">TEXT(D420,"yyyy-mm")</f>
        <v>2026-03</v>
      </c>
      <c r="P420" s="13"/>
    </row>
    <row r="421" customFormat="false" ht="15" hidden="false" customHeight="false" outlineLevel="0" collapsed="false">
      <c r="A421" s="5" t="s">
        <v>28</v>
      </c>
      <c r="B421" s="5" t="n">
        <v>9455</v>
      </c>
      <c r="C421" s="5" t="s">
        <v>259</v>
      </c>
      <c r="D421" s="14" t="n">
        <v>46084</v>
      </c>
      <c r="E421" s="15" t="n">
        <v>-1.17</v>
      </c>
      <c r="F421" s="5" t="s">
        <v>279</v>
      </c>
      <c r="G421" s="5" t="s">
        <v>178</v>
      </c>
      <c r="H421" s="5" t="s">
        <v>189</v>
      </c>
      <c r="I421" s="5" t="s">
        <v>194</v>
      </c>
      <c r="J421" s="5" t="s">
        <v>181</v>
      </c>
      <c r="K421" s="16" t="n">
        <v>-35000</v>
      </c>
      <c r="L421" s="5" t="s">
        <v>260</v>
      </c>
      <c r="M421" s="17" t="n">
        <v>29991.0026991902</v>
      </c>
      <c r="N421" s="3" t="str">
        <f aca="false">IF(OR(K421="",M421=""),"",IF(C421="STATS_ONLY","stats",IF(ROUND(K421/M421,2)=E421,"OK","CHECK")))</f>
        <v>OK</v>
      </c>
      <c r="O421" s="3" t="str">
        <f aca="false">TEXT(D421,"yyyy-mm")</f>
        <v>2026-03</v>
      </c>
      <c r="P421" s="13"/>
    </row>
    <row r="422" customFormat="false" ht="15" hidden="false" customHeight="false" outlineLevel="0" collapsed="false">
      <c r="A422" s="5" t="s">
        <v>28</v>
      </c>
      <c r="B422" s="5" t="n">
        <v>9456</v>
      </c>
      <c r="C422" s="5" t="s">
        <v>152</v>
      </c>
      <c r="D422" s="14" t="n">
        <v>46085</v>
      </c>
      <c r="E422" s="15" t="n">
        <v>-99.85</v>
      </c>
      <c r="F422" s="5" t="s">
        <v>291</v>
      </c>
      <c r="G422" s="5" t="s">
        <v>167</v>
      </c>
      <c r="H422" s="5" t="s">
        <v>167</v>
      </c>
      <c r="I422" s="5" t="s">
        <v>168</v>
      </c>
      <c r="J422" s="5"/>
      <c r="K422" s="16"/>
      <c r="L422" s="5"/>
      <c r="M422" s="17"/>
      <c r="N422" s="3" t="str">
        <f aca="false">IF(OR(K422="",M422=""),"",IF(C422="STATS_ONLY","stats",IF(ROUND(K422/M422,2)=E422,"OK","CHECK")))</f>
        <v/>
      </c>
      <c r="O422" s="3" t="str">
        <f aca="false">TEXT(D422,"yyyy-mm")</f>
        <v>2026-03</v>
      </c>
      <c r="P422" s="13" t="s">
        <v>169</v>
      </c>
    </row>
    <row r="423" customFormat="false" ht="15" hidden="false" customHeight="false" outlineLevel="0" collapsed="false">
      <c r="A423" s="5" t="s">
        <v>28</v>
      </c>
      <c r="B423" s="5" t="n">
        <v>9456</v>
      </c>
      <c r="C423" s="5" t="s">
        <v>259</v>
      </c>
      <c r="D423" s="14" t="n">
        <v>46085</v>
      </c>
      <c r="E423" s="15" t="n">
        <v>99.85</v>
      </c>
      <c r="F423" s="5" t="s">
        <v>291</v>
      </c>
      <c r="G423" s="5" t="s">
        <v>167</v>
      </c>
      <c r="H423" s="5" t="s">
        <v>167</v>
      </c>
      <c r="I423" s="5" t="s">
        <v>168</v>
      </c>
      <c r="J423" s="5" t="s">
        <v>203</v>
      </c>
      <c r="K423" s="16" t="n">
        <v>3000000</v>
      </c>
      <c r="L423" s="5" t="s">
        <v>260</v>
      </c>
      <c r="M423" s="18" t="n">
        <f aca="false">K423/E423</f>
        <v>30045.0676014021</v>
      </c>
      <c r="N423" s="3" t="str">
        <f aca="false">IF(OR(K423="",M423=""),"",IF(C423="STATS_ONLY","stats",IF(ROUND(K423/M423,2)=E423,"OK","CHECK")))</f>
        <v>OK</v>
      </c>
      <c r="O423" s="3" t="str">
        <f aca="false">TEXT(D423,"yyyy-mm")</f>
        <v>2026-03</v>
      </c>
      <c r="P423" s="13" t="s">
        <v>170</v>
      </c>
    </row>
    <row r="424" customFormat="false" ht="15" hidden="false" customHeight="false" outlineLevel="0" collapsed="false">
      <c r="A424" s="5" t="s">
        <v>28</v>
      </c>
      <c r="B424" s="5" t="n">
        <v>9457</v>
      </c>
      <c r="C424" s="5" t="s">
        <v>259</v>
      </c>
      <c r="D424" s="14" t="n">
        <v>46085</v>
      </c>
      <c r="E424" s="15" t="n">
        <v>-1.33</v>
      </c>
      <c r="F424" s="5" t="s">
        <v>284</v>
      </c>
      <c r="G424" s="5" t="s">
        <v>178</v>
      </c>
      <c r="H424" s="5" t="s">
        <v>189</v>
      </c>
      <c r="I424" s="5" t="s">
        <v>194</v>
      </c>
      <c r="J424" s="5" t="s">
        <v>199</v>
      </c>
      <c r="K424" s="16" t="n">
        <v>-40000</v>
      </c>
      <c r="L424" s="5" t="s">
        <v>260</v>
      </c>
      <c r="M424" s="17" t="n">
        <v>30045.0676014021</v>
      </c>
      <c r="N424" s="3" t="str">
        <f aca="false">IF(OR(K424="",M424=""),"",IF(C424="STATS_ONLY","stats",IF(ROUND(K424/M424,2)=E424,"OK","CHECK")))</f>
        <v>OK</v>
      </c>
      <c r="O424" s="3" t="str">
        <f aca="false">TEXT(D424,"yyyy-mm")</f>
        <v>2026-03</v>
      </c>
      <c r="P424" s="13"/>
    </row>
    <row r="425" customFormat="false" ht="15" hidden="false" customHeight="false" outlineLevel="0" collapsed="false">
      <c r="A425" s="5" t="s">
        <v>28</v>
      </c>
      <c r="B425" s="5" t="n">
        <v>9458</v>
      </c>
      <c r="C425" s="5" t="s">
        <v>259</v>
      </c>
      <c r="D425" s="14" t="n">
        <v>46085</v>
      </c>
      <c r="E425" s="15" t="n">
        <v>-1.33</v>
      </c>
      <c r="F425" s="5" t="s">
        <v>233</v>
      </c>
      <c r="G425" s="5" t="s">
        <v>178</v>
      </c>
      <c r="H425" s="5" t="s">
        <v>189</v>
      </c>
      <c r="I425" s="5" t="s">
        <v>194</v>
      </c>
      <c r="J425" s="5" t="s">
        <v>181</v>
      </c>
      <c r="K425" s="16" t="n">
        <v>-40000</v>
      </c>
      <c r="L425" s="5" t="s">
        <v>260</v>
      </c>
      <c r="M425" s="17" t="n">
        <v>30045.0676014021</v>
      </c>
      <c r="N425" s="3" t="str">
        <f aca="false">IF(OR(K425="",M425=""),"",IF(C425="STATS_ONLY","stats",IF(ROUND(K425/M425,2)=E425,"OK","CHECK")))</f>
        <v>OK</v>
      </c>
      <c r="O425" s="3" t="str">
        <f aca="false">TEXT(D425,"yyyy-mm")</f>
        <v>2026-03</v>
      </c>
      <c r="P425" s="13"/>
    </row>
    <row r="426" customFormat="false" ht="15" hidden="false" customHeight="false" outlineLevel="0" collapsed="false">
      <c r="A426" s="5" t="s">
        <v>28</v>
      </c>
      <c r="B426" s="5" t="n">
        <v>9459</v>
      </c>
      <c r="C426" s="5" t="s">
        <v>259</v>
      </c>
      <c r="D426" s="14" t="n">
        <v>46085</v>
      </c>
      <c r="E426" s="15" t="n">
        <v>-2.16</v>
      </c>
      <c r="F426" s="5" t="s">
        <v>228</v>
      </c>
      <c r="G426" s="5" t="s">
        <v>178</v>
      </c>
      <c r="H426" s="5" t="s">
        <v>189</v>
      </c>
      <c r="I426" s="5" t="s">
        <v>194</v>
      </c>
      <c r="J426" s="5" t="s">
        <v>229</v>
      </c>
      <c r="K426" s="16" t="n">
        <v>-65000</v>
      </c>
      <c r="L426" s="5" t="s">
        <v>260</v>
      </c>
      <c r="M426" s="17" t="n">
        <v>30045.0676014021</v>
      </c>
      <c r="N426" s="3" t="str">
        <f aca="false">IF(OR(K426="",M426=""),"",IF(C426="STATS_ONLY","stats",IF(ROUND(K426/M426,2)=E426,"OK","CHECK")))</f>
        <v>OK</v>
      </c>
      <c r="O426" s="3" t="str">
        <f aca="false">TEXT(D426,"yyyy-mm")</f>
        <v>2026-03</v>
      </c>
      <c r="P426" s="13"/>
    </row>
    <row r="427" customFormat="false" ht="15" hidden="false" customHeight="false" outlineLevel="0" collapsed="false">
      <c r="A427" s="5" t="s">
        <v>28</v>
      </c>
      <c r="B427" s="5" t="n">
        <v>9460</v>
      </c>
      <c r="C427" s="5" t="s">
        <v>259</v>
      </c>
      <c r="D427" s="14" t="n">
        <v>46086</v>
      </c>
      <c r="E427" s="15" t="n">
        <v>-1.16</v>
      </c>
      <c r="F427" s="5" t="s">
        <v>273</v>
      </c>
      <c r="G427" s="5" t="s">
        <v>178</v>
      </c>
      <c r="H427" s="5" t="s">
        <v>189</v>
      </c>
      <c r="I427" s="5" t="s">
        <v>194</v>
      </c>
      <c r="J427" s="5" t="s">
        <v>195</v>
      </c>
      <c r="K427" s="16" t="n">
        <v>-35000</v>
      </c>
      <c r="L427" s="5" t="s">
        <v>260</v>
      </c>
      <c r="M427" s="17" t="n">
        <v>30045.0676014021</v>
      </c>
      <c r="N427" s="3" t="str">
        <f aca="false">IF(OR(K427="",M427=""),"",IF(C427="STATS_ONLY","stats",IF(ROUND(K427/M427,2)=E427,"OK","CHECK")))</f>
        <v>OK</v>
      </c>
      <c r="O427" s="3" t="str">
        <f aca="false">TEXT(D427,"yyyy-mm")</f>
        <v>2026-03</v>
      </c>
      <c r="P427" s="13"/>
    </row>
    <row r="428" customFormat="false" ht="15" hidden="false" customHeight="false" outlineLevel="0" collapsed="false">
      <c r="A428" s="5" t="s">
        <v>28</v>
      </c>
      <c r="B428" s="5" t="n">
        <v>9461</v>
      </c>
      <c r="C428" s="5" t="s">
        <v>259</v>
      </c>
      <c r="D428" s="14" t="n">
        <v>46086</v>
      </c>
      <c r="E428" s="15" t="n">
        <v>-3.66</v>
      </c>
      <c r="F428" s="5" t="s">
        <v>272</v>
      </c>
      <c r="G428" s="5" t="s">
        <v>178</v>
      </c>
      <c r="H428" s="5" t="s">
        <v>189</v>
      </c>
      <c r="I428" s="5" t="s">
        <v>194</v>
      </c>
      <c r="J428" s="5" t="s">
        <v>197</v>
      </c>
      <c r="K428" s="16" t="n">
        <v>-110000</v>
      </c>
      <c r="L428" s="5" t="s">
        <v>260</v>
      </c>
      <c r="M428" s="17" t="n">
        <v>30045.0676014021</v>
      </c>
      <c r="N428" s="3" t="str">
        <f aca="false">IF(OR(K428="",M428=""),"",IF(C428="STATS_ONLY","stats",IF(ROUND(K428/M428,2)=E428,"OK","CHECK")))</f>
        <v>OK</v>
      </c>
      <c r="O428" s="3" t="str">
        <f aca="false">TEXT(D428,"yyyy-mm")</f>
        <v>2026-03</v>
      </c>
      <c r="P428" s="13"/>
    </row>
    <row r="429" customFormat="false" ht="15" hidden="false" customHeight="false" outlineLevel="0" collapsed="false">
      <c r="A429" s="5" t="s">
        <v>28</v>
      </c>
      <c r="B429" s="5" t="n">
        <v>9462</v>
      </c>
      <c r="C429" s="5" t="s">
        <v>259</v>
      </c>
      <c r="D429" s="14" t="n">
        <v>46086</v>
      </c>
      <c r="E429" s="15" t="n">
        <v>-1.16</v>
      </c>
      <c r="F429" s="5" t="s">
        <v>263</v>
      </c>
      <c r="G429" s="5" t="s">
        <v>178</v>
      </c>
      <c r="H429" s="5" t="s">
        <v>189</v>
      </c>
      <c r="I429" s="5" t="s">
        <v>194</v>
      </c>
      <c r="J429" s="5" t="s">
        <v>181</v>
      </c>
      <c r="K429" s="16" t="n">
        <v>-35000</v>
      </c>
      <c r="L429" s="5" t="s">
        <v>260</v>
      </c>
      <c r="M429" s="17" t="n">
        <v>30045.0676014021</v>
      </c>
      <c r="N429" s="3" t="str">
        <f aca="false">IF(OR(K429="",M429=""),"",IF(C429="STATS_ONLY","stats",IF(ROUND(K429/M429,2)=E429,"OK","CHECK")))</f>
        <v>OK</v>
      </c>
      <c r="O429" s="3" t="str">
        <f aca="false">TEXT(D429,"yyyy-mm")</f>
        <v>2026-03</v>
      </c>
      <c r="P429" s="13"/>
    </row>
    <row r="430" customFormat="false" ht="15" hidden="false" customHeight="false" outlineLevel="0" collapsed="false">
      <c r="A430" s="5" t="s">
        <v>28</v>
      </c>
      <c r="B430" s="5" t="n">
        <v>9463</v>
      </c>
      <c r="C430" s="5" t="s">
        <v>259</v>
      </c>
      <c r="D430" s="14" t="n">
        <v>46086</v>
      </c>
      <c r="E430" s="15" t="n">
        <v>-1.83</v>
      </c>
      <c r="F430" s="5" t="s">
        <v>234</v>
      </c>
      <c r="G430" s="5" t="s">
        <v>178</v>
      </c>
      <c r="H430" s="5" t="s">
        <v>189</v>
      </c>
      <c r="I430" s="5" t="s">
        <v>194</v>
      </c>
      <c r="J430" s="5" t="s">
        <v>235</v>
      </c>
      <c r="K430" s="16" t="n">
        <v>-55000</v>
      </c>
      <c r="L430" s="5" t="s">
        <v>260</v>
      </c>
      <c r="M430" s="17" t="n">
        <v>30045.0676014021</v>
      </c>
      <c r="N430" s="3" t="str">
        <f aca="false">IF(OR(K430="",M430=""),"",IF(C430="STATS_ONLY","stats",IF(ROUND(K430/M430,2)=E430,"OK","CHECK")))</f>
        <v>OK</v>
      </c>
      <c r="O430" s="3" t="str">
        <f aca="false">TEXT(D430,"yyyy-mm")</f>
        <v>2026-03</v>
      </c>
      <c r="P430" s="13"/>
    </row>
    <row r="431" customFormat="false" ht="15" hidden="false" customHeight="false" outlineLevel="0" collapsed="false">
      <c r="A431" s="5" t="s">
        <v>28</v>
      </c>
      <c r="B431" s="5" t="n">
        <v>9464</v>
      </c>
      <c r="C431" s="5" t="s">
        <v>259</v>
      </c>
      <c r="D431" s="14" t="n">
        <v>46086</v>
      </c>
      <c r="E431" s="15" t="n">
        <v>-4.33</v>
      </c>
      <c r="F431" s="5" t="s">
        <v>257</v>
      </c>
      <c r="G431" s="5" t="s">
        <v>178</v>
      </c>
      <c r="H431" s="5" t="s">
        <v>189</v>
      </c>
      <c r="I431" s="5" t="s">
        <v>194</v>
      </c>
      <c r="J431" s="5" t="s">
        <v>206</v>
      </c>
      <c r="K431" s="16" t="n">
        <v>-130000</v>
      </c>
      <c r="L431" s="5" t="s">
        <v>260</v>
      </c>
      <c r="M431" s="17" t="n">
        <v>30045.0676014021</v>
      </c>
      <c r="N431" s="3" t="str">
        <f aca="false">IF(OR(K431="",M431=""),"",IF(C431="STATS_ONLY","stats",IF(ROUND(K431/M431,2)=E431,"OK","CHECK")))</f>
        <v>OK</v>
      </c>
      <c r="O431" s="3" t="str">
        <f aca="false">TEXT(D431,"yyyy-mm")</f>
        <v>2026-03</v>
      </c>
      <c r="P431" s="13"/>
    </row>
    <row r="432" customFormat="false" ht="15" hidden="false" customHeight="false" outlineLevel="0" collapsed="false">
      <c r="A432" s="5" t="s">
        <v>28</v>
      </c>
      <c r="B432" s="5" t="n">
        <v>9622</v>
      </c>
      <c r="C432" s="5" t="s">
        <v>152</v>
      </c>
      <c r="D432" s="14" t="n">
        <v>46086</v>
      </c>
      <c r="E432" s="15" t="n">
        <v>-45</v>
      </c>
      <c r="F432" s="5" t="s">
        <v>200</v>
      </c>
      <c r="G432" s="5" t="s">
        <v>163</v>
      </c>
      <c r="H432" s="5" t="s">
        <v>164</v>
      </c>
      <c r="I432" s="5" t="s">
        <v>201</v>
      </c>
      <c r="J432" s="5"/>
      <c r="K432" s="16"/>
      <c r="L432" s="5"/>
      <c r="M432" s="17"/>
      <c r="N432" s="3" t="str">
        <f aca="false">IF(OR(K432="",M432=""),"",IF(C432="STATS_ONLY","stats",IF(ROUND(K432/M432,2)=E432,"OK","CHECK")))</f>
        <v/>
      </c>
      <c r="O432" s="3" t="str">
        <f aca="false">TEXT(D432,"yyyy-mm")</f>
        <v>2026-03</v>
      </c>
      <c r="P432" s="13"/>
    </row>
    <row r="433" customFormat="false" ht="15" hidden="false" customHeight="false" outlineLevel="0" collapsed="false">
      <c r="A433" s="5" t="s">
        <v>28</v>
      </c>
      <c r="B433" s="5" t="n">
        <v>9465</v>
      </c>
      <c r="C433" s="5" t="s">
        <v>259</v>
      </c>
      <c r="D433" s="14" t="n">
        <v>46087</v>
      </c>
      <c r="E433" s="15" t="n">
        <v>-2.16</v>
      </c>
      <c r="F433" s="5" t="s">
        <v>281</v>
      </c>
      <c r="G433" s="5" t="s">
        <v>178</v>
      </c>
      <c r="H433" s="5" t="s">
        <v>189</v>
      </c>
      <c r="I433" s="5" t="s">
        <v>194</v>
      </c>
      <c r="J433" s="5" t="s">
        <v>197</v>
      </c>
      <c r="K433" s="16" t="n">
        <v>-65000</v>
      </c>
      <c r="L433" s="5" t="s">
        <v>260</v>
      </c>
      <c r="M433" s="17" t="n">
        <v>30045.0676014021</v>
      </c>
      <c r="N433" s="3" t="str">
        <f aca="false">IF(OR(K433="",M433=""),"",IF(C433="STATS_ONLY","stats",IF(ROUND(K433/M433,2)=E433,"OK","CHECK")))</f>
        <v>OK</v>
      </c>
      <c r="O433" s="3" t="str">
        <f aca="false">TEXT(D433,"yyyy-mm")</f>
        <v>2026-03</v>
      </c>
      <c r="P433" s="13"/>
    </row>
    <row r="434" customFormat="false" ht="15" hidden="false" customHeight="false" outlineLevel="0" collapsed="false">
      <c r="A434" s="5" t="s">
        <v>28</v>
      </c>
      <c r="B434" s="5" t="n">
        <v>9466</v>
      </c>
      <c r="C434" s="5" t="s">
        <v>259</v>
      </c>
      <c r="D434" s="14" t="n">
        <v>46088</v>
      </c>
      <c r="E434" s="15" t="n">
        <v>-1.33</v>
      </c>
      <c r="F434" s="5" t="s">
        <v>278</v>
      </c>
      <c r="G434" s="5" t="s">
        <v>178</v>
      </c>
      <c r="H434" s="5" t="s">
        <v>189</v>
      </c>
      <c r="I434" s="5" t="s">
        <v>194</v>
      </c>
      <c r="J434" s="5" t="s">
        <v>195</v>
      </c>
      <c r="K434" s="16" t="n">
        <v>-40000</v>
      </c>
      <c r="L434" s="5" t="s">
        <v>260</v>
      </c>
      <c r="M434" s="17" t="n">
        <v>30045.0676014021</v>
      </c>
      <c r="N434" s="3" t="str">
        <f aca="false">IF(OR(K434="",M434=""),"",IF(C434="STATS_ONLY","stats",IF(ROUND(K434/M434,2)=E434,"OK","CHECK")))</f>
        <v>OK</v>
      </c>
      <c r="O434" s="3" t="str">
        <f aca="false">TEXT(D434,"yyyy-mm")</f>
        <v>2026-03</v>
      </c>
      <c r="P434" s="13"/>
    </row>
    <row r="435" customFormat="false" ht="15" hidden="false" customHeight="false" outlineLevel="0" collapsed="false">
      <c r="A435" s="5" t="s">
        <v>28</v>
      </c>
      <c r="B435" s="5" t="n">
        <v>9467</v>
      </c>
      <c r="C435" s="5" t="s">
        <v>259</v>
      </c>
      <c r="D435" s="14" t="n">
        <v>46088</v>
      </c>
      <c r="E435" s="15" t="n">
        <v>-2.5</v>
      </c>
      <c r="F435" s="5" t="s">
        <v>208</v>
      </c>
      <c r="G435" s="5" t="s">
        <v>178</v>
      </c>
      <c r="H435" s="5" t="s">
        <v>189</v>
      </c>
      <c r="I435" s="5" t="s">
        <v>194</v>
      </c>
      <c r="J435" s="5" t="s">
        <v>209</v>
      </c>
      <c r="K435" s="16" t="n">
        <v>-75000</v>
      </c>
      <c r="L435" s="5" t="s">
        <v>260</v>
      </c>
      <c r="M435" s="17" t="n">
        <v>30045.0676014021</v>
      </c>
      <c r="N435" s="3" t="str">
        <f aca="false">IF(OR(K435="",M435=""),"",IF(C435="STATS_ONLY","stats",IF(ROUND(K435/M435,2)=E435,"OK","CHECK")))</f>
        <v>OK</v>
      </c>
      <c r="O435" s="3" t="str">
        <f aca="false">TEXT(D435,"yyyy-mm")</f>
        <v>2026-03</v>
      </c>
      <c r="P435" s="13"/>
    </row>
    <row r="436" customFormat="false" ht="15" hidden="false" customHeight="false" outlineLevel="0" collapsed="false">
      <c r="A436" s="5" t="s">
        <v>28</v>
      </c>
      <c r="B436" s="5" t="n">
        <v>9468</v>
      </c>
      <c r="C436" s="5" t="s">
        <v>259</v>
      </c>
      <c r="D436" s="14" t="n">
        <v>46088</v>
      </c>
      <c r="E436" s="15" t="n">
        <v>-1.5</v>
      </c>
      <c r="F436" s="5" t="s">
        <v>230</v>
      </c>
      <c r="G436" s="5" t="s">
        <v>178</v>
      </c>
      <c r="H436" s="5" t="s">
        <v>189</v>
      </c>
      <c r="I436" s="5" t="s">
        <v>194</v>
      </c>
      <c r="J436" s="5" t="s">
        <v>231</v>
      </c>
      <c r="K436" s="16" t="n">
        <v>-45000</v>
      </c>
      <c r="L436" s="5" t="s">
        <v>260</v>
      </c>
      <c r="M436" s="17" t="n">
        <v>30045.0676014021</v>
      </c>
      <c r="N436" s="3" t="str">
        <f aca="false">IF(OR(K436="",M436=""),"",IF(C436="STATS_ONLY","stats",IF(ROUND(K436/M436,2)=E436,"OK","CHECK")))</f>
        <v>OK</v>
      </c>
      <c r="O436" s="3" t="str">
        <f aca="false">TEXT(D436,"yyyy-mm")</f>
        <v>2026-03</v>
      </c>
      <c r="P436" s="13"/>
    </row>
    <row r="437" customFormat="false" ht="15" hidden="false" customHeight="false" outlineLevel="0" collapsed="false">
      <c r="A437" s="5" t="s">
        <v>28</v>
      </c>
      <c r="B437" s="5" t="n">
        <v>9623</v>
      </c>
      <c r="C437" s="5" t="s">
        <v>213</v>
      </c>
      <c r="D437" s="14" t="n">
        <v>46088</v>
      </c>
      <c r="E437" s="15" t="n">
        <v>-21.78</v>
      </c>
      <c r="F437" s="5" t="s">
        <v>214</v>
      </c>
      <c r="G437" s="5" t="s">
        <v>163</v>
      </c>
      <c r="H437" s="5" t="s">
        <v>164</v>
      </c>
      <c r="I437" s="5" t="s">
        <v>215</v>
      </c>
      <c r="J437" s="5"/>
      <c r="K437" s="16"/>
      <c r="L437" s="5"/>
      <c r="M437" s="17"/>
      <c r="N437" s="3" t="str">
        <f aca="false">IF(OR(K437="",M437=""),"",IF(C437="STATS_ONLY","stats",IF(ROUND(K437/M437,2)=E437,"OK","CHECK")))</f>
        <v/>
      </c>
      <c r="O437" s="3" t="str">
        <f aca="false">TEXT(D437,"yyyy-mm")</f>
        <v>2026-03</v>
      </c>
      <c r="P437" s="13"/>
    </row>
    <row r="438" customFormat="false" ht="15" hidden="false" customHeight="false" outlineLevel="0" collapsed="false">
      <c r="A438" s="5" t="s">
        <v>28</v>
      </c>
      <c r="B438" s="5" t="n">
        <v>9469</v>
      </c>
      <c r="C438" s="5" t="s">
        <v>259</v>
      </c>
      <c r="D438" s="14" t="n">
        <v>46089</v>
      </c>
      <c r="E438" s="15" t="n">
        <v>-1.83</v>
      </c>
      <c r="F438" s="5" t="s">
        <v>280</v>
      </c>
      <c r="G438" s="5" t="s">
        <v>178</v>
      </c>
      <c r="H438" s="5" t="s">
        <v>189</v>
      </c>
      <c r="I438" s="5" t="s">
        <v>194</v>
      </c>
      <c r="J438" s="5" t="s">
        <v>209</v>
      </c>
      <c r="K438" s="16" t="n">
        <v>-55000</v>
      </c>
      <c r="L438" s="5" t="s">
        <v>260</v>
      </c>
      <c r="M438" s="17" t="n">
        <v>30045.0676014021</v>
      </c>
      <c r="N438" s="3" t="str">
        <f aca="false">IF(OR(K438="",M438=""),"",IF(C438="STATS_ONLY","stats",IF(ROUND(K438/M438,2)=E438,"OK","CHECK")))</f>
        <v>OK</v>
      </c>
      <c r="O438" s="3" t="str">
        <f aca="false">TEXT(D438,"yyyy-mm")</f>
        <v>2026-03</v>
      </c>
      <c r="P438" s="13"/>
    </row>
    <row r="439" customFormat="false" ht="15" hidden="false" customHeight="false" outlineLevel="0" collapsed="false">
      <c r="A439" s="5" t="s">
        <v>28</v>
      </c>
      <c r="B439" s="5" t="n">
        <v>9624</v>
      </c>
      <c r="C439" s="5" t="s">
        <v>152</v>
      </c>
      <c r="D439" s="14" t="n">
        <v>46089</v>
      </c>
      <c r="E439" s="15" t="n">
        <v>-2.99</v>
      </c>
      <c r="F439" s="5" t="s">
        <v>219</v>
      </c>
      <c r="G439" s="5" t="s">
        <v>163</v>
      </c>
      <c r="H439" s="5" t="s">
        <v>164</v>
      </c>
      <c r="I439" s="5" t="s">
        <v>220</v>
      </c>
      <c r="J439" s="5"/>
      <c r="K439" s="16"/>
      <c r="L439" s="5"/>
      <c r="M439" s="17"/>
      <c r="N439" s="3" t="str">
        <f aca="false">IF(OR(K439="",M439=""),"",IF(C439="STATS_ONLY","stats",IF(ROUND(K439/M439,2)=E439,"OK","CHECK")))</f>
        <v/>
      </c>
      <c r="O439" s="3" t="str">
        <f aca="false">TEXT(D439,"yyyy-mm")</f>
        <v>2026-03</v>
      </c>
      <c r="P439" s="13"/>
    </row>
    <row r="440" customFormat="false" ht="15" hidden="false" customHeight="false" outlineLevel="0" collapsed="false">
      <c r="A440" s="5" t="s">
        <v>28</v>
      </c>
      <c r="B440" s="5" t="n">
        <v>9470</v>
      </c>
      <c r="C440" s="5" t="s">
        <v>259</v>
      </c>
      <c r="D440" s="14" t="n">
        <v>46090</v>
      </c>
      <c r="E440" s="15" t="n">
        <v>-2</v>
      </c>
      <c r="F440" s="5" t="s">
        <v>262</v>
      </c>
      <c r="G440" s="5" t="s">
        <v>178</v>
      </c>
      <c r="H440" s="5" t="s">
        <v>189</v>
      </c>
      <c r="I440" s="5" t="s">
        <v>194</v>
      </c>
      <c r="J440" s="5" t="s">
        <v>209</v>
      </c>
      <c r="K440" s="16" t="n">
        <v>-60000</v>
      </c>
      <c r="L440" s="5" t="s">
        <v>260</v>
      </c>
      <c r="M440" s="17" t="n">
        <v>30045.0676014021</v>
      </c>
      <c r="N440" s="3" t="str">
        <f aca="false">IF(OR(K440="",M440=""),"",IF(C440="STATS_ONLY","stats",IF(ROUND(K440/M440,2)=E440,"OK","CHECK")))</f>
        <v>OK</v>
      </c>
      <c r="O440" s="3" t="str">
        <f aca="false">TEXT(D440,"yyyy-mm")</f>
        <v>2026-03</v>
      </c>
      <c r="P440" s="13"/>
    </row>
    <row r="441" customFormat="false" ht="15" hidden="false" customHeight="false" outlineLevel="0" collapsed="false">
      <c r="A441" s="5" t="s">
        <v>28</v>
      </c>
      <c r="B441" s="5" t="n">
        <v>9471</v>
      </c>
      <c r="C441" s="5" t="s">
        <v>259</v>
      </c>
      <c r="D441" s="14" t="n">
        <v>46090</v>
      </c>
      <c r="E441" s="15" t="n">
        <v>-1.83</v>
      </c>
      <c r="F441" s="5" t="s">
        <v>272</v>
      </c>
      <c r="G441" s="5" t="s">
        <v>178</v>
      </c>
      <c r="H441" s="5" t="s">
        <v>189</v>
      </c>
      <c r="I441" s="5" t="s">
        <v>194</v>
      </c>
      <c r="J441" s="5" t="s">
        <v>197</v>
      </c>
      <c r="K441" s="16" t="n">
        <v>-55000</v>
      </c>
      <c r="L441" s="5" t="s">
        <v>260</v>
      </c>
      <c r="M441" s="17" t="n">
        <v>30045.0676014021</v>
      </c>
      <c r="N441" s="3" t="str">
        <f aca="false">IF(OR(K441="",M441=""),"",IF(C441="STATS_ONLY","stats",IF(ROUND(K441/M441,2)=E441,"OK","CHECK")))</f>
        <v>OK</v>
      </c>
      <c r="O441" s="3" t="str">
        <f aca="false">TEXT(D441,"yyyy-mm")</f>
        <v>2026-03</v>
      </c>
      <c r="P441" s="13"/>
    </row>
    <row r="442" customFormat="false" ht="15" hidden="false" customHeight="false" outlineLevel="0" collapsed="false">
      <c r="A442" s="5" t="s">
        <v>28</v>
      </c>
      <c r="B442" s="5" t="n">
        <v>9472</v>
      </c>
      <c r="C442" s="5" t="s">
        <v>259</v>
      </c>
      <c r="D442" s="14" t="n">
        <v>46090</v>
      </c>
      <c r="E442" s="15" t="n">
        <v>-0.83</v>
      </c>
      <c r="F442" s="5" t="s">
        <v>271</v>
      </c>
      <c r="G442" s="5" t="s">
        <v>178</v>
      </c>
      <c r="H442" s="5" t="s">
        <v>189</v>
      </c>
      <c r="I442" s="5" t="s">
        <v>194</v>
      </c>
      <c r="J442" s="5" t="s">
        <v>181</v>
      </c>
      <c r="K442" s="16" t="n">
        <v>-25000</v>
      </c>
      <c r="L442" s="5" t="s">
        <v>260</v>
      </c>
      <c r="M442" s="17" t="n">
        <v>30045.0676014021</v>
      </c>
      <c r="N442" s="3" t="str">
        <f aca="false">IF(OR(K442="",M442=""),"",IF(C442="STATS_ONLY","stats",IF(ROUND(K442/M442,2)=E442,"OK","CHECK")))</f>
        <v>OK</v>
      </c>
      <c r="O442" s="3" t="str">
        <f aca="false">TEXT(D442,"yyyy-mm")</f>
        <v>2026-03</v>
      </c>
      <c r="P442" s="13"/>
    </row>
    <row r="443" customFormat="false" ht="15" hidden="false" customHeight="false" outlineLevel="0" collapsed="false">
      <c r="A443" s="5" t="s">
        <v>28</v>
      </c>
      <c r="B443" s="5" t="n">
        <v>9473</v>
      </c>
      <c r="C443" s="5" t="s">
        <v>259</v>
      </c>
      <c r="D443" s="14" t="n">
        <v>46090</v>
      </c>
      <c r="E443" s="15" t="n">
        <v>-5.66</v>
      </c>
      <c r="F443" s="5" t="s">
        <v>236</v>
      </c>
      <c r="G443" s="5" t="s">
        <v>178</v>
      </c>
      <c r="H443" s="5" t="s">
        <v>189</v>
      </c>
      <c r="I443" s="5" t="s">
        <v>194</v>
      </c>
      <c r="J443" s="5" t="s">
        <v>237</v>
      </c>
      <c r="K443" s="16" t="n">
        <v>-170000</v>
      </c>
      <c r="L443" s="5" t="s">
        <v>260</v>
      </c>
      <c r="M443" s="17" t="n">
        <v>30045.0676014021</v>
      </c>
      <c r="N443" s="3" t="str">
        <f aca="false">IF(OR(K443="",M443=""),"",IF(C443="STATS_ONLY","stats",IF(ROUND(K443/M443,2)=E443,"OK","CHECK")))</f>
        <v>OK</v>
      </c>
      <c r="O443" s="3" t="str">
        <f aca="false">TEXT(D443,"yyyy-mm")</f>
        <v>2026-03</v>
      </c>
      <c r="P443" s="13"/>
    </row>
    <row r="444" customFormat="false" ht="15" hidden="false" customHeight="false" outlineLevel="0" collapsed="false">
      <c r="A444" s="5" t="s">
        <v>28</v>
      </c>
      <c r="B444" s="5" t="n">
        <v>9474</v>
      </c>
      <c r="C444" s="5" t="s">
        <v>259</v>
      </c>
      <c r="D444" s="14" t="n">
        <v>46091</v>
      </c>
      <c r="E444" s="15" t="n">
        <v>-1.66</v>
      </c>
      <c r="F444" s="5" t="s">
        <v>278</v>
      </c>
      <c r="G444" s="5" t="s">
        <v>178</v>
      </c>
      <c r="H444" s="5" t="s">
        <v>189</v>
      </c>
      <c r="I444" s="5" t="s">
        <v>194</v>
      </c>
      <c r="J444" s="5" t="s">
        <v>195</v>
      </c>
      <c r="K444" s="16" t="n">
        <v>-50000</v>
      </c>
      <c r="L444" s="5" t="s">
        <v>260</v>
      </c>
      <c r="M444" s="17" t="n">
        <v>30045.0676014021</v>
      </c>
      <c r="N444" s="3" t="str">
        <f aca="false">IF(OR(K444="",M444=""),"",IF(C444="STATS_ONLY","stats",IF(ROUND(K444/M444,2)=E444,"OK","CHECK")))</f>
        <v>OK</v>
      </c>
      <c r="O444" s="3" t="str">
        <f aca="false">TEXT(D444,"yyyy-mm")</f>
        <v>2026-03</v>
      </c>
      <c r="P444" s="13"/>
    </row>
    <row r="445" customFormat="false" ht="15" hidden="false" customHeight="false" outlineLevel="0" collapsed="false">
      <c r="A445" s="5" t="s">
        <v>28</v>
      </c>
      <c r="B445" s="5" t="n">
        <v>9475</v>
      </c>
      <c r="C445" s="5" t="s">
        <v>259</v>
      </c>
      <c r="D445" s="14" t="n">
        <v>46091</v>
      </c>
      <c r="E445" s="15" t="n">
        <v>-1.16</v>
      </c>
      <c r="F445" s="5" t="s">
        <v>218</v>
      </c>
      <c r="G445" s="5" t="s">
        <v>178</v>
      </c>
      <c r="H445" s="5" t="s">
        <v>189</v>
      </c>
      <c r="I445" s="5" t="s">
        <v>194</v>
      </c>
      <c r="J445" s="5" t="s">
        <v>199</v>
      </c>
      <c r="K445" s="16" t="n">
        <v>-35000</v>
      </c>
      <c r="L445" s="5" t="s">
        <v>260</v>
      </c>
      <c r="M445" s="17" t="n">
        <v>30045.0676014021</v>
      </c>
      <c r="N445" s="3" t="str">
        <f aca="false">IF(OR(K445="",M445=""),"",IF(C445="STATS_ONLY","stats",IF(ROUND(K445/M445,2)=E445,"OK","CHECK")))</f>
        <v>OK</v>
      </c>
      <c r="O445" s="3" t="str">
        <f aca="false">TEXT(D445,"yyyy-mm")</f>
        <v>2026-03</v>
      </c>
      <c r="P445" s="13"/>
    </row>
    <row r="446" customFormat="false" ht="15" hidden="false" customHeight="false" outlineLevel="0" collapsed="false">
      <c r="A446" s="5" t="s">
        <v>28</v>
      </c>
      <c r="B446" s="5" t="n">
        <v>9476</v>
      </c>
      <c r="C446" s="5" t="s">
        <v>259</v>
      </c>
      <c r="D446" s="14" t="n">
        <v>46091</v>
      </c>
      <c r="E446" s="15" t="n">
        <v>-6.32</v>
      </c>
      <c r="F446" s="5" t="s">
        <v>236</v>
      </c>
      <c r="G446" s="5" t="s">
        <v>178</v>
      </c>
      <c r="H446" s="5" t="s">
        <v>189</v>
      </c>
      <c r="I446" s="5" t="s">
        <v>194</v>
      </c>
      <c r="J446" s="5" t="s">
        <v>237</v>
      </c>
      <c r="K446" s="16" t="n">
        <v>-190000</v>
      </c>
      <c r="L446" s="5" t="s">
        <v>260</v>
      </c>
      <c r="M446" s="17" t="n">
        <v>30045.0676014021</v>
      </c>
      <c r="N446" s="3" t="str">
        <f aca="false">IF(OR(K446="",M446=""),"",IF(C446="STATS_ONLY","stats",IF(ROUND(K446/M446,2)=E446,"OK","CHECK")))</f>
        <v>OK</v>
      </c>
      <c r="O446" s="3" t="str">
        <f aca="false">TEXT(D446,"yyyy-mm")</f>
        <v>2026-03</v>
      </c>
      <c r="P446" s="13"/>
    </row>
    <row r="447" customFormat="false" ht="15" hidden="false" customHeight="false" outlineLevel="0" collapsed="false">
      <c r="A447" s="5" t="s">
        <v>28</v>
      </c>
      <c r="B447" s="5" t="n">
        <v>9477</v>
      </c>
      <c r="C447" s="5" t="s">
        <v>259</v>
      </c>
      <c r="D447" s="14" t="n">
        <v>46092</v>
      </c>
      <c r="E447" s="15" t="n">
        <v>-1.83</v>
      </c>
      <c r="F447" s="5" t="s">
        <v>278</v>
      </c>
      <c r="G447" s="5" t="s">
        <v>178</v>
      </c>
      <c r="H447" s="5" t="s">
        <v>189</v>
      </c>
      <c r="I447" s="5" t="s">
        <v>194</v>
      </c>
      <c r="J447" s="5" t="s">
        <v>195</v>
      </c>
      <c r="K447" s="16" t="n">
        <v>-55000</v>
      </c>
      <c r="L447" s="5" t="s">
        <v>260</v>
      </c>
      <c r="M447" s="17" t="n">
        <v>30045.0676014021</v>
      </c>
      <c r="N447" s="3" t="str">
        <f aca="false">IF(OR(K447="",M447=""),"",IF(C447="STATS_ONLY","stats",IF(ROUND(K447/M447,2)=E447,"OK","CHECK")))</f>
        <v>OK</v>
      </c>
      <c r="O447" s="3" t="str">
        <f aca="false">TEXT(D447,"yyyy-mm")</f>
        <v>2026-03</v>
      </c>
      <c r="P447" s="13"/>
    </row>
    <row r="448" customFormat="false" ht="15" hidden="false" customHeight="false" outlineLevel="0" collapsed="false">
      <c r="A448" s="5" t="s">
        <v>28</v>
      </c>
      <c r="B448" s="5" t="n">
        <v>9478</v>
      </c>
      <c r="C448" s="5" t="s">
        <v>259</v>
      </c>
      <c r="D448" s="14" t="n">
        <v>46092</v>
      </c>
      <c r="E448" s="15" t="n">
        <v>-1.33</v>
      </c>
      <c r="F448" s="5" t="s">
        <v>262</v>
      </c>
      <c r="G448" s="5" t="s">
        <v>178</v>
      </c>
      <c r="H448" s="5" t="s">
        <v>189</v>
      </c>
      <c r="I448" s="5" t="s">
        <v>194</v>
      </c>
      <c r="J448" s="5" t="s">
        <v>209</v>
      </c>
      <c r="K448" s="16" t="n">
        <v>-40000</v>
      </c>
      <c r="L448" s="5" t="s">
        <v>260</v>
      </c>
      <c r="M448" s="17" t="n">
        <v>30045.0676014021</v>
      </c>
      <c r="N448" s="3" t="str">
        <f aca="false">IF(OR(K448="",M448=""),"",IF(C448="STATS_ONLY","stats",IF(ROUND(K448/M448,2)=E448,"OK","CHECK")))</f>
        <v>OK</v>
      </c>
      <c r="O448" s="3" t="str">
        <f aca="false">TEXT(D448,"yyyy-mm")</f>
        <v>2026-03</v>
      </c>
      <c r="P448" s="13"/>
    </row>
    <row r="449" customFormat="false" ht="15" hidden="false" customHeight="false" outlineLevel="0" collapsed="false">
      <c r="A449" s="5" t="s">
        <v>28</v>
      </c>
      <c r="B449" s="5" t="n">
        <v>9479</v>
      </c>
      <c r="C449" s="5" t="s">
        <v>259</v>
      </c>
      <c r="D449" s="14" t="n">
        <v>46092</v>
      </c>
      <c r="E449" s="15" t="n">
        <v>-2.83</v>
      </c>
      <c r="F449" s="5" t="s">
        <v>282</v>
      </c>
      <c r="G449" s="5" t="s">
        <v>178</v>
      </c>
      <c r="H449" s="5" t="s">
        <v>189</v>
      </c>
      <c r="I449" s="5" t="s">
        <v>194</v>
      </c>
      <c r="J449" s="5" t="s">
        <v>197</v>
      </c>
      <c r="K449" s="16" t="n">
        <v>-85000</v>
      </c>
      <c r="L449" s="5" t="s">
        <v>260</v>
      </c>
      <c r="M449" s="17" t="n">
        <v>30045.0676014021</v>
      </c>
      <c r="N449" s="3" t="str">
        <f aca="false">IF(OR(K449="",M449=""),"",IF(C449="STATS_ONLY","stats",IF(ROUND(K449/M449,2)=E449,"OK","CHECK")))</f>
        <v>OK</v>
      </c>
      <c r="O449" s="3" t="str">
        <f aca="false">TEXT(D449,"yyyy-mm")</f>
        <v>2026-03</v>
      </c>
      <c r="P449" s="13"/>
    </row>
    <row r="450" customFormat="false" ht="15" hidden="false" customHeight="false" outlineLevel="0" collapsed="false">
      <c r="A450" s="5" t="s">
        <v>28</v>
      </c>
      <c r="B450" s="5" t="n">
        <v>9480</v>
      </c>
      <c r="C450" s="5" t="s">
        <v>259</v>
      </c>
      <c r="D450" s="14" t="n">
        <v>46092</v>
      </c>
      <c r="E450" s="15" t="n">
        <v>-1.16</v>
      </c>
      <c r="F450" s="5" t="s">
        <v>284</v>
      </c>
      <c r="G450" s="5" t="s">
        <v>178</v>
      </c>
      <c r="H450" s="5" t="s">
        <v>189</v>
      </c>
      <c r="I450" s="5" t="s">
        <v>194</v>
      </c>
      <c r="J450" s="5" t="s">
        <v>199</v>
      </c>
      <c r="K450" s="16" t="n">
        <v>-35000</v>
      </c>
      <c r="L450" s="5" t="s">
        <v>260</v>
      </c>
      <c r="M450" s="17" t="n">
        <v>30045.0676014021</v>
      </c>
      <c r="N450" s="3" t="str">
        <f aca="false">IF(OR(K450="",M450=""),"",IF(C450="STATS_ONLY","stats",IF(ROUND(K450/M450,2)=E450,"OK","CHECK")))</f>
        <v>OK</v>
      </c>
      <c r="O450" s="3" t="str">
        <f aca="false">TEXT(D450,"yyyy-mm")</f>
        <v>2026-03</v>
      </c>
      <c r="P450" s="13"/>
    </row>
    <row r="451" customFormat="false" ht="15" hidden="false" customHeight="false" outlineLevel="0" collapsed="false">
      <c r="A451" s="5" t="s">
        <v>28</v>
      </c>
      <c r="B451" s="5" t="n">
        <v>9481</v>
      </c>
      <c r="C451" s="5" t="s">
        <v>259</v>
      </c>
      <c r="D451" s="14" t="n">
        <v>46092</v>
      </c>
      <c r="E451" s="15" t="n">
        <v>-0.83</v>
      </c>
      <c r="F451" s="5" t="s">
        <v>263</v>
      </c>
      <c r="G451" s="5" t="s">
        <v>178</v>
      </c>
      <c r="H451" s="5" t="s">
        <v>189</v>
      </c>
      <c r="I451" s="5" t="s">
        <v>194</v>
      </c>
      <c r="J451" s="5" t="s">
        <v>181</v>
      </c>
      <c r="K451" s="16" t="n">
        <v>-25000</v>
      </c>
      <c r="L451" s="5" t="s">
        <v>260</v>
      </c>
      <c r="M451" s="17" t="n">
        <v>30045.0676014021</v>
      </c>
      <c r="N451" s="3" t="str">
        <f aca="false">IF(OR(K451="",M451=""),"",IF(C451="STATS_ONLY","stats",IF(ROUND(K451/M451,2)=E451,"OK","CHECK")))</f>
        <v>OK</v>
      </c>
      <c r="O451" s="3" t="str">
        <f aca="false">TEXT(D451,"yyyy-mm")</f>
        <v>2026-03</v>
      </c>
      <c r="P451" s="13"/>
    </row>
    <row r="452" customFormat="false" ht="15" hidden="false" customHeight="false" outlineLevel="0" collapsed="false">
      <c r="A452" s="5" t="s">
        <v>28</v>
      </c>
      <c r="B452" s="5" t="n">
        <v>9482</v>
      </c>
      <c r="C452" s="5" t="s">
        <v>259</v>
      </c>
      <c r="D452" s="14" t="n">
        <v>46093</v>
      </c>
      <c r="E452" s="15" t="n">
        <v>-0.67</v>
      </c>
      <c r="F452" s="5" t="s">
        <v>279</v>
      </c>
      <c r="G452" s="5" t="s">
        <v>178</v>
      </c>
      <c r="H452" s="5" t="s">
        <v>189</v>
      </c>
      <c r="I452" s="5" t="s">
        <v>194</v>
      </c>
      <c r="J452" s="5" t="s">
        <v>181</v>
      </c>
      <c r="K452" s="16" t="n">
        <v>-20000</v>
      </c>
      <c r="L452" s="5" t="s">
        <v>260</v>
      </c>
      <c r="M452" s="17" t="n">
        <v>30045.0676014021</v>
      </c>
      <c r="N452" s="3" t="str">
        <f aca="false">IF(OR(K452="",M452=""),"",IF(C452="STATS_ONLY","stats",IF(ROUND(K452/M452,2)=E452,"OK","CHECK")))</f>
        <v>OK</v>
      </c>
      <c r="O452" s="3" t="str">
        <f aca="false">TEXT(D452,"yyyy-mm")</f>
        <v>2026-03</v>
      </c>
      <c r="P452" s="13"/>
    </row>
    <row r="453" customFormat="false" ht="15" hidden="false" customHeight="false" outlineLevel="0" collapsed="false">
      <c r="A453" s="5" t="s">
        <v>28</v>
      </c>
      <c r="B453" s="5" t="n">
        <v>9483</v>
      </c>
      <c r="C453" s="5" t="s">
        <v>259</v>
      </c>
      <c r="D453" s="14" t="n">
        <v>46094</v>
      </c>
      <c r="E453" s="15" t="n">
        <v>-1.83</v>
      </c>
      <c r="F453" s="5" t="s">
        <v>261</v>
      </c>
      <c r="G453" s="5" t="s">
        <v>178</v>
      </c>
      <c r="H453" s="5" t="s">
        <v>189</v>
      </c>
      <c r="I453" s="5" t="s">
        <v>194</v>
      </c>
      <c r="J453" s="5" t="s">
        <v>195</v>
      </c>
      <c r="K453" s="16" t="n">
        <v>-55000</v>
      </c>
      <c r="L453" s="5" t="s">
        <v>260</v>
      </c>
      <c r="M453" s="17" t="n">
        <v>30045.0676014021</v>
      </c>
      <c r="N453" s="3" t="str">
        <f aca="false">IF(OR(K453="",M453=""),"",IF(C453="STATS_ONLY","stats",IF(ROUND(K453/M453,2)=E453,"OK","CHECK")))</f>
        <v>OK</v>
      </c>
      <c r="O453" s="3" t="str">
        <f aca="false">TEXT(D453,"yyyy-mm")</f>
        <v>2026-03</v>
      </c>
      <c r="P453" s="13"/>
    </row>
    <row r="454" customFormat="false" ht="15" hidden="false" customHeight="false" outlineLevel="0" collapsed="false">
      <c r="A454" s="5" t="s">
        <v>28</v>
      </c>
      <c r="B454" s="5" t="n">
        <v>9484</v>
      </c>
      <c r="C454" s="5" t="s">
        <v>259</v>
      </c>
      <c r="D454" s="14" t="n">
        <v>46094</v>
      </c>
      <c r="E454" s="15" t="n">
        <v>-2.5</v>
      </c>
      <c r="F454" s="5" t="s">
        <v>208</v>
      </c>
      <c r="G454" s="5" t="s">
        <v>178</v>
      </c>
      <c r="H454" s="5" t="s">
        <v>189</v>
      </c>
      <c r="I454" s="5" t="s">
        <v>194</v>
      </c>
      <c r="J454" s="5" t="s">
        <v>209</v>
      </c>
      <c r="K454" s="16" t="n">
        <v>-75000</v>
      </c>
      <c r="L454" s="5" t="s">
        <v>260</v>
      </c>
      <c r="M454" s="17" t="n">
        <v>30045.0676014021</v>
      </c>
      <c r="N454" s="3" t="str">
        <f aca="false">IF(OR(K454="",M454=""),"",IF(C454="STATS_ONLY","stats",IF(ROUND(K454/M454,2)=E454,"OK","CHECK")))</f>
        <v>OK</v>
      </c>
      <c r="O454" s="3" t="str">
        <f aca="false">TEXT(D454,"yyyy-mm")</f>
        <v>2026-03</v>
      </c>
      <c r="P454" s="13"/>
    </row>
    <row r="455" customFormat="false" ht="15" hidden="false" customHeight="false" outlineLevel="0" collapsed="false">
      <c r="A455" s="5" t="s">
        <v>28</v>
      </c>
      <c r="B455" s="5" t="n">
        <v>9485</v>
      </c>
      <c r="C455" s="5" t="s">
        <v>259</v>
      </c>
      <c r="D455" s="14" t="n">
        <v>46094</v>
      </c>
      <c r="E455" s="15" t="n">
        <v>-0.67</v>
      </c>
      <c r="F455" s="5" t="s">
        <v>233</v>
      </c>
      <c r="G455" s="5" t="s">
        <v>178</v>
      </c>
      <c r="H455" s="5" t="s">
        <v>189</v>
      </c>
      <c r="I455" s="5" t="s">
        <v>194</v>
      </c>
      <c r="J455" s="5" t="s">
        <v>181</v>
      </c>
      <c r="K455" s="16" t="n">
        <v>-20000</v>
      </c>
      <c r="L455" s="5" t="s">
        <v>260</v>
      </c>
      <c r="M455" s="17" t="n">
        <v>30045.0676014021</v>
      </c>
      <c r="N455" s="3" t="str">
        <f aca="false">IF(OR(K455="",M455=""),"",IF(C455="STATS_ONLY","stats",IF(ROUND(K455/M455,2)=E455,"OK","CHECK")))</f>
        <v>OK</v>
      </c>
      <c r="O455" s="3" t="str">
        <f aca="false">TEXT(D455,"yyyy-mm")</f>
        <v>2026-03</v>
      </c>
      <c r="P455" s="13"/>
    </row>
    <row r="456" customFormat="false" ht="15" hidden="false" customHeight="false" outlineLevel="0" collapsed="false">
      <c r="A456" s="5" t="s">
        <v>28</v>
      </c>
      <c r="B456" s="5" t="n">
        <v>9486</v>
      </c>
      <c r="C456" s="5" t="s">
        <v>259</v>
      </c>
      <c r="D456" s="14" t="n">
        <v>46094</v>
      </c>
      <c r="E456" s="15" t="n">
        <v>-1</v>
      </c>
      <c r="F456" s="5" t="s">
        <v>230</v>
      </c>
      <c r="G456" s="5" t="s">
        <v>178</v>
      </c>
      <c r="H456" s="5" t="s">
        <v>189</v>
      </c>
      <c r="I456" s="5" t="s">
        <v>194</v>
      </c>
      <c r="J456" s="5" t="s">
        <v>231</v>
      </c>
      <c r="K456" s="16" t="n">
        <v>-30000</v>
      </c>
      <c r="L456" s="5" t="s">
        <v>260</v>
      </c>
      <c r="M456" s="17" t="n">
        <v>30045.0676014021</v>
      </c>
      <c r="N456" s="3" t="str">
        <f aca="false">IF(OR(K456="",M456=""),"",IF(C456="STATS_ONLY","stats",IF(ROUND(K456/M456,2)=E456,"OK","CHECK")))</f>
        <v>OK</v>
      </c>
      <c r="O456" s="3" t="str">
        <f aca="false">TEXT(D456,"yyyy-mm")</f>
        <v>2026-03</v>
      </c>
      <c r="P456" s="13"/>
    </row>
    <row r="457" customFormat="false" ht="15" hidden="false" customHeight="false" outlineLevel="0" collapsed="false">
      <c r="A457" s="5" t="s">
        <v>28</v>
      </c>
      <c r="B457" s="5" t="n">
        <v>9487</v>
      </c>
      <c r="C457" s="5" t="s">
        <v>259</v>
      </c>
      <c r="D457" s="14" t="n">
        <v>46094</v>
      </c>
      <c r="E457" s="15" t="n">
        <v>-4.49</v>
      </c>
      <c r="F457" s="5" t="s">
        <v>256</v>
      </c>
      <c r="G457" s="5" t="s">
        <v>178</v>
      </c>
      <c r="H457" s="5" t="s">
        <v>189</v>
      </c>
      <c r="I457" s="5" t="s">
        <v>194</v>
      </c>
      <c r="J457" s="5" t="s">
        <v>206</v>
      </c>
      <c r="K457" s="16" t="n">
        <v>-135000</v>
      </c>
      <c r="L457" s="5" t="s">
        <v>260</v>
      </c>
      <c r="M457" s="17" t="n">
        <v>30045.0676014021</v>
      </c>
      <c r="N457" s="3" t="str">
        <f aca="false">IF(OR(K457="",M457=""),"",IF(C457="STATS_ONLY","stats",IF(ROUND(K457/M457,2)=E457,"OK","CHECK")))</f>
        <v>OK</v>
      </c>
      <c r="O457" s="3" t="str">
        <f aca="false">TEXT(D457,"yyyy-mm")</f>
        <v>2026-03</v>
      </c>
      <c r="P457" s="13"/>
    </row>
    <row r="458" customFormat="false" ht="15" hidden="false" customHeight="false" outlineLevel="0" collapsed="false">
      <c r="A458" s="5" t="s">
        <v>28</v>
      </c>
      <c r="B458" s="5" t="n">
        <v>9488</v>
      </c>
      <c r="C458" s="5" t="s">
        <v>259</v>
      </c>
      <c r="D458" s="14" t="n">
        <v>46095</v>
      </c>
      <c r="E458" s="15" t="n">
        <v>-2.5</v>
      </c>
      <c r="F458" s="5" t="s">
        <v>262</v>
      </c>
      <c r="G458" s="5" t="s">
        <v>178</v>
      </c>
      <c r="H458" s="5" t="s">
        <v>189</v>
      </c>
      <c r="I458" s="5" t="s">
        <v>194</v>
      </c>
      <c r="J458" s="5" t="s">
        <v>209</v>
      </c>
      <c r="K458" s="16" t="n">
        <v>-75000</v>
      </c>
      <c r="L458" s="5" t="s">
        <v>260</v>
      </c>
      <c r="M458" s="17" t="n">
        <v>30045.0676014021</v>
      </c>
      <c r="N458" s="3" t="str">
        <f aca="false">IF(OR(K458="",M458=""),"",IF(C458="STATS_ONLY","stats",IF(ROUND(K458/M458,2)=E458,"OK","CHECK")))</f>
        <v>OK</v>
      </c>
      <c r="O458" s="3" t="str">
        <f aca="false">TEXT(D458,"yyyy-mm")</f>
        <v>2026-03</v>
      </c>
      <c r="P458" s="13"/>
    </row>
    <row r="459" customFormat="false" ht="15" hidden="false" customHeight="false" outlineLevel="0" collapsed="false">
      <c r="A459" s="5" t="s">
        <v>28</v>
      </c>
      <c r="B459" s="5" t="n">
        <v>9489</v>
      </c>
      <c r="C459" s="5" t="s">
        <v>259</v>
      </c>
      <c r="D459" s="14" t="n">
        <v>46095</v>
      </c>
      <c r="E459" s="15" t="n">
        <v>-3.49</v>
      </c>
      <c r="F459" s="5" t="s">
        <v>217</v>
      </c>
      <c r="G459" s="5" t="s">
        <v>178</v>
      </c>
      <c r="H459" s="5" t="s">
        <v>189</v>
      </c>
      <c r="I459" s="5" t="s">
        <v>194</v>
      </c>
      <c r="J459" s="5" t="s">
        <v>197</v>
      </c>
      <c r="K459" s="16" t="n">
        <v>-105000</v>
      </c>
      <c r="L459" s="5" t="s">
        <v>260</v>
      </c>
      <c r="M459" s="17" t="n">
        <v>30045.0676014021</v>
      </c>
      <c r="N459" s="3" t="str">
        <f aca="false">IF(OR(K459="",M459=""),"",IF(C459="STATS_ONLY","stats",IF(ROUND(K459/M459,2)=E459,"OK","CHECK")))</f>
        <v>OK</v>
      </c>
      <c r="O459" s="3" t="str">
        <f aca="false">TEXT(D459,"yyyy-mm")</f>
        <v>2026-03</v>
      </c>
      <c r="P459" s="13"/>
    </row>
    <row r="460" customFormat="false" ht="15" hidden="false" customHeight="false" outlineLevel="0" collapsed="false">
      <c r="A460" s="5" t="s">
        <v>28</v>
      </c>
      <c r="B460" s="5" t="n">
        <v>9490</v>
      </c>
      <c r="C460" s="5" t="s">
        <v>259</v>
      </c>
      <c r="D460" s="14" t="n">
        <v>46095</v>
      </c>
      <c r="E460" s="15" t="n">
        <v>-0.67</v>
      </c>
      <c r="F460" s="5" t="s">
        <v>233</v>
      </c>
      <c r="G460" s="5" t="s">
        <v>178</v>
      </c>
      <c r="H460" s="5" t="s">
        <v>189</v>
      </c>
      <c r="I460" s="5" t="s">
        <v>194</v>
      </c>
      <c r="J460" s="5" t="s">
        <v>181</v>
      </c>
      <c r="K460" s="16" t="n">
        <v>-20000</v>
      </c>
      <c r="L460" s="5" t="s">
        <v>260</v>
      </c>
      <c r="M460" s="17" t="n">
        <v>30045.0676014021</v>
      </c>
      <c r="N460" s="3" t="str">
        <f aca="false">IF(OR(K460="",M460=""),"",IF(C460="STATS_ONLY","stats",IF(ROUND(K460/M460,2)=E460,"OK","CHECK")))</f>
        <v>OK</v>
      </c>
      <c r="O460" s="3" t="str">
        <f aca="false">TEXT(D460,"yyyy-mm")</f>
        <v>2026-03</v>
      </c>
      <c r="P460" s="13"/>
    </row>
    <row r="461" customFormat="false" ht="15" hidden="false" customHeight="false" outlineLevel="0" collapsed="false">
      <c r="A461" s="5" t="s">
        <v>28</v>
      </c>
      <c r="B461" s="5" t="n">
        <v>9491</v>
      </c>
      <c r="C461" s="5" t="s">
        <v>259</v>
      </c>
      <c r="D461" s="14" t="n">
        <v>46095</v>
      </c>
      <c r="E461" s="15" t="n">
        <v>-6.49</v>
      </c>
      <c r="F461" s="5" t="s">
        <v>285</v>
      </c>
      <c r="G461" s="5" t="s">
        <v>178</v>
      </c>
      <c r="H461" s="5" t="s">
        <v>189</v>
      </c>
      <c r="I461" s="5" t="s">
        <v>194</v>
      </c>
      <c r="J461" s="5" t="s">
        <v>206</v>
      </c>
      <c r="K461" s="16" t="n">
        <v>-195000</v>
      </c>
      <c r="L461" s="5" t="s">
        <v>260</v>
      </c>
      <c r="M461" s="17" t="n">
        <v>30045.0676014021</v>
      </c>
      <c r="N461" s="3" t="str">
        <f aca="false">IF(OR(K461="",M461=""),"",IF(C461="STATS_ONLY","stats",IF(ROUND(K461/M461,2)=E461,"OK","CHECK")))</f>
        <v>OK</v>
      </c>
      <c r="O461" s="3" t="str">
        <f aca="false">TEXT(D461,"yyyy-mm")</f>
        <v>2026-03</v>
      </c>
      <c r="P461" s="13"/>
    </row>
    <row r="462" customFormat="false" ht="15" hidden="false" customHeight="false" outlineLevel="0" collapsed="false">
      <c r="A462" s="5" t="s">
        <v>28</v>
      </c>
      <c r="B462" s="5" t="n">
        <v>9492</v>
      </c>
      <c r="C462" s="5" t="s">
        <v>259</v>
      </c>
      <c r="D462" s="14" t="n">
        <v>46096</v>
      </c>
      <c r="E462" s="15" t="n">
        <v>-2.66</v>
      </c>
      <c r="F462" s="5" t="s">
        <v>217</v>
      </c>
      <c r="G462" s="5" t="s">
        <v>178</v>
      </c>
      <c r="H462" s="5" t="s">
        <v>189</v>
      </c>
      <c r="I462" s="5" t="s">
        <v>194</v>
      </c>
      <c r="J462" s="5" t="s">
        <v>197</v>
      </c>
      <c r="K462" s="16" t="n">
        <v>-80000</v>
      </c>
      <c r="L462" s="5" t="s">
        <v>260</v>
      </c>
      <c r="M462" s="17" t="n">
        <v>30045.0676014021</v>
      </c>
      <c r="N462" s="3" t="str">
        <f aca="false">IF(OR(K462="",M462=""),"",IF(C462="STATS_ONLY","stats",IF(ROUND(K462/M462,2)=E462,"OK","CHECK")))</f>
        <v>OK</v>
      </c>
      <c r="O462" s="3" t="str">
        <f aca="false">TEXT(D462,"yyyy-mm")</f>
        <v>2026-03</v>
      </c>
      <c r="P462" s="13"/>
    </row>
    <row r="463" customFormat="false" ht="15" hidden="false" customHeight="false" outlineLevel="0" collapsed="false">
      <c r="A463" s="5" t="s">
        <v>28</v>
      </c>
      <c r="B463" s="5" t="n">
        <v>9493</v>
      </c>
      <c r="C463" s="5" t="s">
        <v>259</v>
      </c>
      <c r="D463" s="14" t="n">
        <v>46096</v>
      </c>
      <c r="E463" s="15" t="n">
        <v>-1.5</v>
      </c>
      <c r="F463" s="5" t="s">
        <v>277</v>
      </c>
      <c r="G463" s="5" t="s">
        <v>178</v>
      </c>
      <c r="H463" s="5" t="s">
        <v>189</v>
      </c>
      <c r="I463" s="5" t="s">
        <v>194</v>
      </c>
      <c r="J463" s="5" t="s">
        <v>199</v>
      </c>
      <c r="K463" s="16" t="n">
        <v>-45000</v>
      </c>
      <c r="L463" s="5" t="s">
        <v>260</v>
      </c>
      <c r="M463" s="17" t="n">
        <v>30045.0676014021</v>
      </c>
      <c r="N463" s="3" t="str">
        <f aca="false">IF(OR(K463="",M463=""),"",IF(C463="STATS_ONLY","stats",IF(ROUND(K463/M463,2)=E463,"OK","CHECK")))</f>
        <v>OK</v>
      </c>
      <c r="O463" s="3" t="str">
        <f aca="false">TEXT(D463,"yyyy-mm")</f>
        <v>2026-03</v>
      </c>
      <c r="P463" s="13"/>
    </row>
    <row r="464" customFormat="false" ht="15" hidden="false" customHeight="false" outlineLevel="0" collapsed="false">
      <c r="A464" s="5" t="s">
        <v>28</v>
      </c>
      <c r="B464" s="5" t="n">
        <v>9494</v>
      </c>
      <c r="C464" s="5" t="s">
        <v>259</v>
      </c>
      <c r="D464" s="14" t="n">
        <v>46096</v>
      </c>
      <c r="E464" s="15" t="n">
        <v>-2.66</v>
      </c>
      <c r="F464" s="5" t="s">
        <v>228</v>
      </c>
      <c r="G464" s="5" t="s">
        <v>178</v>
      </c>
      <c r="H464" s="5" t="s">
        <v>189</v>
      </c>
      <c r="I464" s="5" t="s">
        <v>194</v>
      </c>
      <c r="J464" s="5" t="s">
        <v>229</v>
      </c>
      <c r="K464" s="16" t="n">
        <v>-80000</v>
      </c>
      <c r="L464" s="5" t="s">
        <v>260</v>
      </c>
      <c r="M464" s="17" t="n">
        <v>30045.0676014021</v>
      </c>
      <c r="N464" s="3" t="str">
        <f aca="false">IF(OR(K464="",M464=""),"",IF(C464="STATS_ONLY","stats",IF(ROUND(K464/M464,2)=E464,"OK","CHECK")))</f>
        <v>OK</v>
      </c>
      <c r="O464" s="3" t="str">
        <f aca="false">TEXT(D464,"yyyy-mm")</f>
        <v>2026-03</v>
      </c>
      <c r="P464" s="13"/>
    </row>
    <row r="465" customFormat="false" ht="15" hidden="false" customHeight="false" outlineLevel="0" collapsed="false">
      <c r="A465" s="5" t="s">
        <v>28</v>
      </c>
      <c r="B465" s="5" t="n">
        <v>9495</v>
      </c>
      <c r="C465" s="5" t="s">
        <v>259</v>
      </c>
      <c r="D465" s="14" t="n">
        <v>46097</v>
      </c>
      <c r="E465" s="15" t="n">
        <v>-1.5</v>
      </c>
      <c r="F465" s="5" t="s">
        <v>262</v>
      </c>
      <c r="G465" s="5" t="s">
        <v>178</v>
      </c>
      <c r="H465" s="5" t="s">
        <v>189</v>
      </c>
      <c r="I465" s="5" t="s">
        <v>194</v>
      </c>
      <c r="J465" s="5" t="s">
        <v>209</v>
      </c>
      <c r="K465" s="16" t="n">
        <v>-45000</v>
      </c>
      <c r="L465" s="5" t="s">
        <v>260</v>
      </c>
      <c r="M465" s="17" t="n">
        <v>30045.0676014021</v>
      </c>
      <c r="N465" s="3" t="str">
        <f aca="false">IF(OR(K465="",M465=""),"",IF(C465="STATS_ONLY","stats",IF(ROUND(K465/M465,2)=E465,"OK","CHECK")))</f>
        <v>OK</v>
      </c>
      <c r="O465" s="3" t="str">
        <f aca="false">TEXT(D465,"yyyy-mm")</f>
        <v>2026-03</v>
      </c>
      <c r="P465" s="13"/>
    </row>
    <row r="466" customFormat="false" ht="15" hidden="false" customHeight="false" outlineLevel="0" collapsed="false">
      <c r="A466" s="5" t="s">
        <v>28</v>
      </c>
      <c r="B466" s="5" t="n">
        <v>9496</v>
      </c>
      <c r="C466" s="5" t="s">
        <v>259</v>
      </c>
      <c r="D466" s="14" t="n">
        <v>46097</v>
      </c>
      <c r="E466" s="15" t="n">
        <v>-0.83</v>
      </c>
      <c r="F466" s="5" t="s">
        <v>279</v>
      </c>
      <c r="G466" s="5" t="s">
        <v>178</v>
      </c>
      <c r="H466" s="5" t="s">
        <v>189</v>
      </c>
      <c r="I466" s="5" t="s">
        <v>194</v>
      </c>
      <c r="J466" s="5" t="s">
        <v>181</v>
      </c>
      <c r="K466" s="16" t="n">
        <v>-25000</v>
      </c>
      <c r="L466" s="5" t="s">
        <v>260</v>
      </c>
      <c r="M466" s="17" t="n">
        <v>30045.0676014021</v>
      </c>
      <c r="N466" s="3" t="str">
        <f aca="false">IF(OR(K466="",M466=""),"",IF(C466="STATS_ONLY","stats",IF(ROUND(K466/M466,2)=E466,"OK","CHECK")))</f>
        <v>OK</v>
      </c>
      <c r="O466" s="3" t="str">
        <f aca="false">TEXT(D466,"yyyy-mm")</f>
        <v>2026-03</v>
      </c>
      <c r="P466" s="13"/>
    </row>
    <row r="467" customFormat="false" ht="15" hidden="false" customHeight="false" outlineLevel="0" collapsed="false">
      <c r="A467" s="5" t="s">
        <v>28</v>
      </c>
      <c r="B467" s="5" t="n">
        <v>9497</v>
      </c>
      <c r="C467" s="5" t="s">
        <v>259</v>
      </c>
      <c r="D467" s="14" t="n">
        <v>46097</v>
      </c>
      <c r="E467" s="15" t="n">
        <v>-2.5</v>
      </c>
      <c r="F467" s="5" t="s">
        <v>228</v>
      </c>
      <c r="G467" s="5" t="s">
        <v>178</v>
      </c>
      <c r="H467" s="5" t="s">
        <v>189</v>
      </c>
      <c r="I467" s="5" t="s">
        <v>194</v>
      </c>
      <c r="J467" s="5" t="s">
        <v>229</v>
      </c>
      <c r="K467" s="16" t="n">
        <v>-75000</v>
      </c>
      <c r="L467" s="5" t="s">
        <v>260</v>
      </c>
      <c r="M467" s="17" t="n">
        <v>30045.0676014021</v>
      </c>
      <c r="N467" s="3" t="str">
        <f aca="false">IF(OR(K467="",M467=""),"",IF(C467="STATS_ONLY","stats",IF(ROUND(K467/M467,2)=E467,"OK","CHECK")))</f>
        <v>OK</v>
      </c>
      <c r="O467" s="3" t="str">
        <f aca="false">TEXT(D467,"yyyy-mm")</f>
        <v>2026-03</v>
      </c>
      <c r="P467" s="13"/>
    </row>
    <row r="468" customFormat="false" ht="15" hidden="false" customHeight="false" outlineLevel="0" collapsed="false">
      <c r="A468" s="5" t="s">
        <v>28</v>
      </c>
      <c r="B468" s="5" t="n">
        <v>9498</v>
      </c>
      <c r="C468" s="5" t="s">
        <v>259</v>
      </c>
      <c r="D468" s="14" t="n">
        <v>46098</v>
      </c>
      <c r="E468" s="15" t="n">
        <v>-2.66</v>
      </c>
      <c r="F468" s="5" t="s">
        <v>208</v>
      </c>
      <c r="G468" s="5" t="s">
        <v>178</v>
      </c>
      <c r="H468" s="5" t="s">
        <v>189</v>
      </c>
      <c r="I468" s="5" t="s">
        <v>194</v>
      </c>
      <c r="J468" s="5" t="s">
        <v>209</v>
      </c>
      <c r="K468" s="16" t="n">
        <v>-80000</v>
      </c>
      <c r="L468" s="5" t="s">
        <v>260</v>
      </c>
      <c r="M468" s="17" t="n">
        <v>30045.0676014021</v>
      </c>
      <c r="N468" s="3" t="str">
        <f aca="false">IF(OR(K468="",M468=""),"",IF(C468="STATS_ONLY","stats",IF(ROUND(K468/M468,2)=E468,"OK","CHECK")))</f>
        <v>OK</v>
      </c>
      <c r="O468" s="3" t="str">
        <f aca="false">TEXT(D468,"yyyy-mm")</f>
        <v>2026-03</v>
      </c>
      <c r="P468" s="13"/>
    </row>
    <row r="469" customFormat="false" ht="15" hidden="false" customHeight="false" outlineLevel="0" collapsed="false">
      <c r="A469" s="5" t="s">
        <v>28</v>
      </c>
      <c r="B469" s="5" t="n">
        <v>9499</v>
      </c>
      <c r="C469" s="5" t="s">
        <v>259</v>
      </c>
      <c r="D469" s="14" t="n">
        <v>46098</v>
      </c>
      <c r="E469" s="15" t="n">
        <v>-2.66</v>
      </c>
      <c r="F469" s="5" t="s">
        <v>282</v>
      </c>
      <c r="G469" s="5" t="s">
        <v>178</v>
      </c>
      <c r="H469" s="5" t="s">
        <v>189</v>
      </c>
      <c r="I469" s="5" t="s">
        <v>194</v>
      </c>
      <c r="J469" s="5" t="s">
        <v>197</v>
      </c>
      <c r="K469" s="16" t="n">
        <v>-80000</v>
      </c>
      <c r="L469" s="5" t="s">
        <v>260</v>
      </c>
      <c r="M469" s="17" t="n">
        <v>30045.0676014021</v>
      </c>
      <c r="N469" s="3" t="str">
        <f aca="false">IF(OR(K469="",M469=""),"",IF(C469="STATS_ONLY","stats",IF(ROUND(K469/M469,2)=E469,"OK","CHECK")))</f>
        <v>OK</v>
      </c>
      <c r="O469" s="3" t="str">
        <f aca="false">TEXT(D469,"yyyy-mm")</f>
        <v>2026-03</v>
      </c>
      <c r="P469" s="13"/>
    </row>
    <row r="470" customFormat="false" ht="15" hidden="false" customHeight="false" outlineLevel="0" collapsed="false">
      <c r="A470" s="5" t="s">
        <v>28</v>
      </c>
      <c r="B470" s="5" t="n">
        <v>9500</v>
      </c>
      <c r="C470" s="5" t="s">
        <v>259</v>
      </c>
      <c r="D470" s="14" t="n">
        <v>46098</v>
      </c>
      <c r="E470" s="15" t="n">
        <v>-1</v>
      </c>
      <c r="F470" s="5" t="s">
        <v>218</v>
      </c>
      <c r="G470" s="5" t="s">
        <v>178</v>
      </c>
      <c r="H470" s="5" t="s">
        <v>189</v>
      </c>
      <c r="I470" s="5" t="s">
        <v>194</v>
      </c>
      <c r="J470" s="5" t="s">
        <v>199</v>
      </c>
      <c r="K470" s="16" t="n">
        <v>-30000</v>
      </c>
      <c r="L470" s="5" t="s">
        <v>260</v>
      </c>
      <c r="M470" s="17" t="n">
        <v>30045.0676014021</v>
      </c>
      <c r="N470" s="3" t="str">
        <f aca="false">IF(OR(K470="",M470=""),"",IF(C470="STATS_ONLY","stats",IF(ROUND(K470/M470,2)=E470,"OK","CHECK")))</f>
        <v>OK</v>
      </c>
      <c r="O470" s="3" t="str">
        <f aca="false">TEXT(D470,"yyyy-mm")</f>
        <v>2026-03</v>
      </c>
      <c r="P470" s="13"/>
    </row>
    <row r="471" customFormat="false" ht="15" hidden="false" customHeight="false" outlineLevel="0" collapsed="false">
      <c r="A471" s="5" t="s">
        <v>28</v>
      </c>
      <c r="B471" s="5" t="n">
        <v>9501</v>
      </c>
      <c r="C471" s="5" t="s">
        <v>259</v>
      </c>
      <c r="D471" s="14" t="n">
        <v>46098</v>
      </c>
      <c r="E471" s="15" t="n">
        <v>-0.67</v>
      </c>
      <c r="F471" s="5" t="s">
        <v>242</v>
      </c>
      <c r="G471" s="5" t="s">
        <v>178</v>
      </c>
      <c r="H471" s="5" t="s">
        <v>189</v>
      </c>
      <c r="I471" s="5" t="s">
        <v>194</v>
      </c>
      <c r="J471" s="5" t="s">
        <v>242</v>
      </c>
      <c r="K471" s="16" t="n">
        <v>-20000</v>
      </c>
      <c r="L471" s="5" t="s">
        <v>260</v>
      </c>
      <c r="M471" s="17" t="n">
        <v>30045.0676014021</v>
      </c>
      <c r="N471" s="3" t="str">
        <f aca="false">IF(OR(K471="",M471=""),"",IF(C471="STATS_ONLY","stats",IF(ROUND(K471/M471,2)=E471,"OK","CHECK")))</f>
        <v>OK</v>
      </c>
      <c r="O471" s="3" t="str">
        <f aca="false">TEXT(D471,"yyyy-mm")</f>
        <v>2026-03</v>
      </c>
      <c r="P471" s="13"/>
    </row>
    <row r="472" customFormat="false" ht="15" hidden="false" customHeight="false" outlineLevel="0" collapsed="false">
      <c r="A472" s="5" t="s">
        <v>28</v>
      </c>
      <c r="B472" s="5" t="n">
        <v>9502</v>
      </c>
      <c r="C472" s="5" t="s">
        <v>259</v>
      </c>
      <c r="D472" s="14" t="n">
        <v>46099</v>
      </c>
      <c r="E472" s="15" t="n">
        <v>-2.33</v>
      </c>
      <c r="F472" s="5" t="s">
        <v>208</v>
      </c>
      <c r="G472" s="5" t="s">
        <v>178</v>
      </c>
      <c r="H472" s="5" t="s">
        <v>189</v>
      </c>
      <c r="I472" s="5" t="s">
        <v>194</v>
      </c>
      <c r="J472" s="5" t="s">
        <v>209</v>
      </c>
      <c r="K472" s="16" t="n">
        <v>-70000</v>
      </c>
      <c r="L472" s="5" t="s">
        <v>260</v>
      </c>
      <c r="M472" s="17" t="n">
        <v>30045.0676014021</v>
      </c>
      <c r="N472" s="3" t="str">
        <f aca="false">IF(OR(K472="",M472=""),"",IF(C472="STATS_ONLY","stats",IF(ROUND(K472/M472,2)=E472,"OK","CHECK")))</f>
        <v>OK</v>
      </c>
      <c r="O472" s="3" t="str">
        <f aca="false">TEXT(D472,"yyyy-mm")</f>
        <v>2026-03</v>
      </c>
      <c r="P472" s="13"/>
    </row>
    <row r="473" customFormat="false" ht="15" hidden="false" customHeight="false" outlineLevel="0" collapsed="false">
      <c r="A473" s="5" t="s">
        <v>28</v>
      </c>
      <c r="B473" s="5" t="n">
        <v>9503</v>
      </c>
      <c r="C473" s="5" t="s">
        <v>259</v>
      </c>
      <c r="D473" s="14" t="n">
        <v>46099</v>
      </c>
      <c r="E473" s="15" t="n">
        <v>-0.5</v>
      </c>
      <c r="F473" s="5" t="s">
        <v>263</v>
      </c>
      <c r="G473" s="5" t="s">
        <v>178</v>
      </c>
      <c r="H473" s="5" t="s">
        <v>189</v>
      </c>
      <c r="I473" s="5" t="s">
        <v>194</v>
      </c>
      <c r="J473" s="5" t="s">
        <v>181</v>
      </c>
      <c r="K473" s="16" t="n">
        <v>-15000</v>
      </c>
      <c r="L473" s="5" t="s">
        <v>260</v>
      </c>
      <c r="M473" s="17" t="n">
        <v>30045.0676014021</v>
      </c>
      <c r="N473" s="3" t="str">
        <f aca="false">IF(OR(K473="",M473=""),"",IF(C473="STATS_ONLY","stats",IF(ROUND(K473/M473,2)=E473,"OK","CHECK")))</f>
        <v>OK</v>
      </c>
      <c r="O473" s="3" t="str">
        <f aca="false">TEXT(D473,"yyyy-mm")</f>
        <v>2026-03</v>
      </c>
      <c r="P473" s="13"/>
    </row>
    <row r="474" customFormat="false" ht="15" hidden="false" customHeight="false" outlineLevel="0" collapsed="false">
      <c r="A474" s="5" t="s">
        <v>28</v>
      </c>
      <c r="B474" s="5" t="n">
        <v>9655</v>
      </c>
      <c r="C474" s="5" t="s">
        <v>152</v>
      </c>
      <c r="D474" s="14" t="n">
        <v>46099</v>
      </c>
      <c r="E474" s="15" t="n">
        <v>412</v>
      </c>
      <c r="F474" s="5" t="s">
        <v>292</v>
      </c>
      <c r="G474" s="5" t="s">
        <v>265</v>
      </c>
      <c r="H474" s="5" t="s">
        <v>293</v>
      </c>
      <c r="I474" s="5" t="s">
        <v>294</v>
      </c>
      <c r="J474" s="5"/>
      <c r="K474" s="16"/>
      <c r="L474" s="5"/>
      <c r="M474" s="17"/>
      <c r="N474" s="3" t="str">
        <f aca="false">IF(OR(K474="",M474=""),"",IF(C474="STATS_ONLY","stats",IF(ROUND(K474/M474,2)=E474,"OK","CHECK")))</f>
        <v/>
      </c>
      <c r="O474" s="3" t="str">
        <f aca="false">TEXT(D474,"yyyy-mm")</f>
        <v>2026-03</v>
      </c>
      <c r="P474" s="13"/>
    </row>
    <row r="475" customFormat="false" ht="15" hidden="false" customHeight="false" outlineLevel="0" collapsed="false">
      <c r="A475" s="5" t="s">
        <v>28</v>
      </c>
      <c r="B475" s="5" t="n">
        <v>9504</v>
      </c>
      <c r="C475" s="5" t="s">
        <v>152</v>
      </c>
      <c r="D475" s="14" t="n">
        <v>46100</v>
      </c>
      <c r="E475" s="15" t="n">
        <v>-99.89</v>
      </c>
      <c r="F475" s="5" t="s">
        <v>295</v>
      </c>
      <c r="G475" s="5" t="s">
        <v>167</v>
      </c>
      <c r="H475" s="5" t="s">
        <v>167</v>
      </c>
      <c r="I475" s="5" t="s">
        <v>168</v>
      </c>
      <c r="J475" s="5"/>
      <c r="K475" s="16"/>
      <c r="L475" s="5"/>
      <c r="M475" s="17"/>
      <c r="N475" s="3" t="str">
        <f aca="false">IF(OR(K475="",M475=""),"",IF(C475="STATS_ONLY","stats",IF(ROUND(K475/M475,2)=E475,"OK","CHECK")))</f>
        <v/>
      </c>
      <c r="O475" s="3" t="str">
        <f aca="false">TEXT(D475,"yyyy-mm")</f>
        <v>2026-03</v>
      </c>
      <c r="P475" s="13" t="s">
        <v>169</v>
      </c>
    </row>
    <row r="476" customFormat="false" ht="15" hidden="false" customHeight="false" outlineLevel="0" collapsed="false">
      <c r="A476" s="5" t="s">
        <v>28</v>
      </c>
      <c r="B476" s="5" t="n">
        <v>9504</v>
      </c>
      <c r="C476" s="5" t="s">
        <v>259</v>
      </c>
      <c r="D476" s="14" t="n">
        <v>46100</v>
      </c>
      <c r="E476" s="15" t="n">
        <v>99.89</v>
      </c>
      <c r="F476" s="5" t="s">
        <v>295</v>
      </c>
      <c r="G476" s="5" t="s">
        <v>167</v>
      </c>
      <c r="H476" s="5" t="s">
        <v>167</v>
      </c>
      <c r="I476" s="5" t="s">
        <v>168</v>
      </c>
      <c r="J476" s="5" t="s">
        <v>203</v>
      </c>
      <c r="K476" s="16" t="n">
        <v>3000000</v>
      </c>
      <c r="L476" s="5" t="s">
        <v>260</v>
      </c>
      <c r="M476" s="18" t="n">
        <f aca="false">K476/E476</f>
        <v>30033.036339974</v>
      </c>
      <c r="N476" s="3" t="str">
        <f aca="false">IF(OR(K476="",M476=""),"",IF(C476="STATS_ONLY","stats",IF(ROUND(K476/M476,2)=E476,"OK","CHECK")))</f>
        <v>OK</v>
      </c>
      <c r="O476" s="3" t="str">
        <f aca="false">TEXT(D476,"yyyy-mm")</f>
        <v>2026-03</v>
      </c>
      <c r="P476" s="13" t="s">
        <v>170</v>
      </c>
    </row>
    <row r="477" customFormat="false" ht="15" hidden="false" customHeight="false" outlineLevel="0" collapsed="false">
      <c r="A477" s="5" t="s">
        <v>28</v>
      </c>
      <c r="B477" s="5" t="n">
        <v>9505</v>
      </c>
      <c r="C477" s="5" t="s">
        <v>259</v>
      </c>
      <c r="D477" s="14" t="n">
        <v>46100</v>
      </c>
      <c r="E477" s="15" t="n">
        <v>-1.5</v>
      </c>
      <c r="F477" s="5" t="s">
        <v>251</v>
      </c>
      <c r="G477" s="5" t="s">
        <v>178</v>
      </c>
      <c r="H477" s="5" t="s">
        <v>189</v>
      </c>
      <c r="I477" s="5" t="s">
        <v>194</v>
      </c>
      <c r="J477" s="5" t="s">
        <v>252</v>
      </c>
      <c r="K477" s="16" t="n">
        <v>-45000</v>
      </c>
      <c r="L477" s="5" t="s">
        <v>260</v>
      </c>
      <c r="M477" s="17" t="n">
        <v>30033.036339974</v>
      </c>
      <c r="N477" s="3" t="str">
        <f aca="false">IF(OR(K477="",M477=""),"",IF(C477="STATS_ONLY","stats",IF(ROUND(K477/M477,2)=E477,"OK","CHECK")))</f>
        <v>OK</v>
      </c>
      <c r="O477" s="3" t="str">
        <f aca="false">TEXT(D477,"yyyy-mm")</f>
        <v>2026-03</v>
      </c>
      <c r="P477" s="13"/>
    </row>
    <row r="478" customFormat="false" ht="15" hidden="false" customHeight="false" outlineLevel="0" collapsed="false">
      <c r="A478" s="5" t="s">
        <v>28</v>
      </c>
      <c r="B478" s="5" t="n">
        <v>9506</v>
      </c>
      <c r="C478" s="5" t="s">
        <v>259</v>
      </c>
      <c r="D478" s="14" t="n">
        <v>46101</v>
      </c>
      <c r="E478" s="15" t="n">
        <v>-1.83</v>
      </c>
      <c r="F478" s="5" t="s">
        <v>286</v>
      </c>
      <c r="G478" s="5" t="s">
        <v>178</v>
      </c>
      <c r="H478" s="5" t="s">
        <v>189</v>
      </c>
      <c r="I478" s="5" t="s">
        <v>194</v>
      </c>
      <c r="J478" s="5" t="s">
        <v>209</v>
      </c>
      <c r="K478" s="16" t="n">
        <v>-55000</v>
      </c>
      <c r="L478" s="5" t="s">
        <v>260</v>
      </c>
      <c r="M478" s="17" t="n">
        <v>30033.036339974</v>
      </c>
      <c r="N478" s="3" t="str">
        <f aca="false">IF(OR(K478="",M478=""),"",IF(C478="STATS_ONLY","stats",IF(ROUND(K478/M478,2)=E478,"OK","CHECK")))</f>
        <v>OK</v>
      </c>
      <c r="O478" s="3" t="str">
        <f aca="false">TEXT(D478,"yyyy-mm")</f>
        <v>2026-03</v>
      </c>
      <c r="P478" s="13"/>
    </row>
    <row r="479" customFormat="false" ht="15" hidden="false" customHeight="false" outlineLevel="0" collapsed="false">
      <c r="A479" s="5" t="s">
        <v>28</v>
      </c>
      <c r="B479" s="5" t="n">
        <v>9507</v>
      </c>
      <c r="C479" s="5" t="s">
        <v>259</v>
      </c>
      <c r="D479" s="14" t="n">
        <v>46101</v>
      </c>
      <c r="E479" s="15" t="n">
        <v>-2</v>
      </c>
      <c r="F479" s="5" t="s">
        <v>217</v>
      </c>
      <c r="G479" s="5" t="s">
        <v>178</v>
      </c>
      <c r="H479" s="5" t="s">
        <v>189</v>
      </c>
      <c r="I479" s="5" t="s">
        <v>194</v>
      </c>
      <c r="J479" s="5" t="s">
        <v>197</v>
      </c>
      <c r="K479" s="16" t="n">
        <v>-60000</v>
      </c>
      <c r="L479" s="5" t="s">
        <v>260</v>
      </c>
      <c r="M479" s="17" t="n">
        <v>30033.036339974</v>
      </c>
      <c r="N479" s="3" t="str">
        <f aca="false">IF(OR(K479="",M479=""),"",IF(C479="STATS_ONLY","stats",IF(ROUND(K479/M479,2)=E479,"OK","CHECK")))</f>
        <v>OK</v>
      </c>
      <c r="O479" s="3" t="str">
        <f aca="false">TEXT(D479,"yyyy-mm")</f>
        <v>2026-03</v>
      </c>
      <c r="P479" s="13"/>
    </row>
    <row r="480" customFormat="false" ht="15" hidden="false" customHeight="false" outlineLevel="0" collapsed="false">
      <c r="A480" s="5" t="s">
        <v>28</v>
      </c>
      <c r="B480" s="5" t="n">
        <v>9508</v>
      </c>
      <c r="C480" s="5" t="s">
        <v>259</v>
      </c>
      <c r="D480" s="14" t="n">
        <v>46101</v>
      </c>
      <c r="E480" s="15" t="n">
        <v>-1.66</v>
      </c>
      <c r="F480" s="5" t="s">
        <v>277</v>
      </c>
      <c r="G480" s="5" t="s">
        <v>178</v>
      </c>
      <c r="H480" s="5" t="s">
        <v>189</v>
      </c>
      <c r="I480" s="5" t="s">
        <v>194</v>
      </c>
      <c r="J480" s="5" t="s">
        <v>199</v>
      </c>
      <c r="K480" s="16" t="n">
        <v>-50000</v>
      </c>
      <c r="L480" s="5" t="s">
        <v>260</v>
      </c>
      <c r="M480" s="17" t="n">
        <v>30033.036339974</v>
      </c>
      <c r="N480" s="3" t="str">
        <f aca="false">IF(OR(K480="",M480=""),"",IF(C480="STATS_ONLY","stats",IF(ROUND(K480/M480,2)=E480,"OK","CHECK")))</f>
        <v>OK</v>
      </c>
      <c r="O480" s="3" t="str">
        <f aca="false">TEXT(D480,"yyyy-mm")</f>
        <v>2026-03</v>
      </c>
      <c r="P480" s="13"/>
    </row>
    <row r="481" customFormat="false" ht="15" hidden="false" customHeight="false" outlineLevel="0" collapsed="false">
      <c r="A481" s="5" t="s">
        <v>28</v>
      </c>
      <c r="B481" s="5" t="n">
        <v>9509</v>
      </c>
      <c r="C481" s="5" t="s">
        <v>259</v>
      </c>
      <c r="D481" s="14" t="n">
        <v>46101</v>
      </c>
      <c r="E481" s="15" t="n">
        <v>-1.66</v>
      </c>
      <c r="F481" s="5" t="s">
        <v>228</v>
      </c>
      <c r="G481" s="5" t="s">
        <v>178</v>
      </c>
      <c r="H481" s="5" t="s">
        <v>189</v>
      </c>
      <c r="I481" s="5" t="s">
        <v>194</v>
      </c>
      <c r="J481" s="5" t="s">
        <v>229</v>
      </c>
      <c r="K481" s="16" t="n">
        <v>-50000</v>
      </c>
      <c r="L481" s="5" t="s">
        <v>260</v>
      </c>
      <c r="M481" s="17" t="n">
        <v>30033.036339974</v>
      </c>
      <c r="N481" s="3" t="str">
        <f aca="false">IF(OR(K481="",M481=""),"",IF(C481="STATS_ONLY","stats",IF(ROUND(K481/M481,2)=E481,"OK","CHECK")))</f>
        <v>OK</v>
      </c>
      <c r="O481" s="3" t="str">
        <f aca="false">TEXT(D481,"yyyy-mm")</f>
        <v>2026-03</v>
      </c>
      <c r="P481" s="13"/>
    </row>
    <row r="482" customFormat="false" ht="15" hidden="false" customHeight="false" outlineLevel="0" collapsed="false">
      <c r="A482" s="5" t="s">
        <v>28</v>
      </c>
      <c r="B482" s="5" t="n">
        <v>9510</v>
      </c>
      <c r="C482" s="5" t="s">
        <v>259</v>
      </c>
      <c r="D482" s="14" t="n">
        <v>46101</v>
      </c>
      <c r="E482" s="15" t="n">
        <v>-3.83</v>
      </c>
      <c r="F482" s="5" t="s">
        <v>256</v>
      </c>
      <c r="G482" s="5" t="s">
        <v>178</v>
      </c>
      <c r="H482" s="5" t="s">
        <v>189</v>
      </c>
      <c r="I482" s="5" t="s">
        <v>194</v>
      </c>
      <c r="J482" s="5" t="s">
        <v>206</v>
      </c>
      <c r="K482" s="16" t="n">
        <v>-115000</v>
      </c>
      <c r="L482" s="5" t="s">
        <v>260</v>
      </c>
      <c r="M482" s="17" t="n">
        <v>30033.036339974</v>
      </c>
      <c r="N482" s="3" t="str">
        <f aca="false">IF(OR(K482="",M482=""),"",IF(C482="STATS_ONLY","stats",IF(ROUND(K482/M482,2)=E482,"OK","CHECK")))</f>
        <v>OK</v>
      </c>
      <c r="O482" s="3" t="str">
        <f aca="false">TEXT(D482,"yyyy-mm")</f>
        <v>2026-03</v>
      </c>
      <c r="P482" s="13"/>
    </row>
    <row r="483" customFormat="false" ht="15" hidden="false" customHeight="false" outlineLevel="0" collapsed="false">
      <c r="A483" s="5" t="s">
        <v>28</v>
      </c>
      <c r="B483" s="5" t="n">
        <v>9626</v>
      </c>
      <c r="C483" s="5" t="s">
        <v>152</v>
      </c>
      <c r="D483" s="14" t="n">
        <v>46101</v>
      </c>
      <c r="E483" s="15" t="n">
        <v>-152</v>
      </c>
      <c r="F483" s="5" t="s">
        <v>243</v>
      </c>
      <c r="G483" s="5" t="s">
        <v>163</v>
      </c>
      <c r="H483" s="5" t="s">
        <v>164</v>
      </c>
      <c r="I483" s="5" t="s">
        <v>244</v>
      </c>
      <c r="J483" s="5"/>
      <c r="K483" s="16"/>
      <c r="L483" s="5"/>
      <c r="M483" s="17"/>
      <c r="N483" s="3" t="str">
        <f aca="false">IF(OR(K483="",M483=""),"",IF(C483="STATS_ONLY","stats",IF(ROUND(K483/M483,2)=E483,"OK","CHECK")))</f>
        <v/>
      </c>
      <c r="O483" s="3" t="str">
        <f aca="false">TEXT(D483,"yyyy-mm")</f>
        <v>2026-03</v>
      </c>
      <c r="P483" s="13"/>
    </row>
    <row r="484" customFormat="false" ht="15" hidden="false" customHeight="false" outlineLevel="0" collapsed="false">
      <c r="A484" s="5" t="s">
        <v>28</v>
      </c>
      <c r="B484" s="5" t="n">
        <v>9627</v>
      </c>
      <c r="C484" s="5" t="s">
        <v>152</v>
      </c>
      <c r="D484" s="14" t="n">
        <v>46101</v>
      </c>
      <c r="E484" s="15" t="n">
        <v>131</v>
      </c>
      <c r="F484" s="5" t="s">
        <v>245</v>
      </c>
      <c r="G484" s="5" t="s">
        <v>163</v>
      </c>
      <c r="H484" s="5" t="s">
        <v>164</v>
      </c>
      <c r="I484" s="5" t="s">
        <v>244</v>
      </c>
      <c r="J484" s="5"/>
      <c r="K484" s="16"/>
      <c r="L484" s="5"/>
      <c r="M484" s="17"/>
      <c r="N484" s="3" t="str">
        <f aca="false">IF(OR(K484="",M484=""),"",IF(C484="STATS_ONLY","stats",IF(ROUND(K484/M484,2)=E484,"OK","CHECK")))</f>
        <v/>
      </c>
      <c r="O484" s="3" t="str">
        <f aca="false">TEXT(D484,"yyyy-mm")</f>
        <v>2026-03</v>
      </c>
      <c r="P484" s="13"/>
    </row>
    <row r="485" customFormat="false" ht="15" hidden="false" customHeight="false" outlineLevel="0" collapsed="false">
      <c r="A485" s="5" t="s">
        <v>28</v>
      </c>
      <c r="B485" s="5" t="n">
        <v>9511</v>
      </c>
      <c r="C485" s="5" t="s">
        <v>259</v>
      </c>
      <c r="D485" s="14" t="n">
        <v>46102</v>
      </c>
      <c r="E485" s="15" t="n">
        <v>-2.16</v>
      </c>
      <c r="F485" s="5" t="s">
        <v>261</v>
      </c>
      <c r="G485" s="5" t="s">
        <v>178</v>
      </c>
      <c r="H485" s="5" t="s">
        <v>189</v>
      </c>
      <c r="I485" s="5" t="s">
        <v>194</v>
      </c>
      <c r="J485" s="5" t="s">
        <v>195</v>
      </c>
      <c r="K485" s="16" t="n">
        <v>-65000</v>
      </c>
      <c r="L485" s="5" t="s">
        <v>260</v>
      </c>
      <c r="M485" s="17" t="n">
        <v>30033.036339974</v>
      </c>
      <c r="N485" s="3" t="str">
        <f aca="false">IF(OR(K485="",M485=""),"",IF(C485="STATS_ONLY","stats",IF(ROUND(K485/M485,2)=E485,"OK","CHECK")))</f>
        <v>OK</v>
      </c>
      <c r="O485" s="3" t="str">
        <f aca="false">TEXT(D485,"yyyy-mm")</f>
        <v>2026-03</v>
      </c>
      <c r="P485" s="13"/>
    </row>
    <row r="486" customFormat="false" ht="15" hidden="false" customHeight="false" outlineLevel="0" collapsed="false">
      <c r="A486" s="5" t="s">
        <v>28</v>
      </c>
      <c r="B486" s="5" t="n">
        <v>9512</v>
      </c>
      <c r="C486" s="5" t="s">
        <v>259</v>
      </c>
      <c r="D486" s="14" t="n">
        <v>46102</v>
      </c>
      <c r="E486" s="15" t="n">
        <v>-1.5</v>
      </c>
      <c r="F486" s="5" t="s">
        <v>280</v>
      </c>
      <c r="G486" s="5" t="s">
        <v>178</v>
      </c>
      <c r="H486" s="5" t="s">
        <v>189</v>
      </c>
      <c r="I486" s="5" t="s">
        <v>194</v>
      </c>
      <c r="J486" s="5" t="s">
        <v>209</v>
      </c>
      <c r="K486" s="16" t="n">
        <v>-45000</v>
      </c>
      <c r="L486" s="5" t="s">
        <v>260</v>
      </c>
      <c r="M486" s="17" t="n">
        <v>30033.036339974</v>
      </c>
      <c r="N486" s="3" t="str">
        <f aca="false">IF(OR(K486="",M486=""),"",IF(C486="STATS_ONLY","stats",IF(ROUND(K486/M486,2)=E486,"OK","CHECK")))</f>
        <v>OK</v>
      </c>
      <c r="O486" s="3" t="str">
        <f aca="false">TEXT(D486,"yyyy-mm")</f>
        <v>2026-03</v>
      </c>
      <c r="P486" s="13"/>
    </row>
    <row r="487" customFormat="false" ht="15" hidden="false" customHeight="false" outlineLevel="0" collapsed="false">
      <c r="A487" s="5" t="s">
        <v>28</v>
      </c>
      <c r="B487" s="5" t="n">
        <v>9513</v>
      </c>
      <c r="C487" s="5" t="s">
        <v>259</v>
      </c>
      <c r="D487" s="14" t="n">
        <v>46102</v>
      </c>
      <c r="E487" s="15" t="n">
        <v>-1.17</v>
      </c>
      <c r="F487" s="5" t="s">
        <v>218</v>
      </c>
      <c r="G487" s="5" t="s">
        <v>178</v>
      </c>
      <c r="H487" s="5" t="s">
        <v>189</v>
      </c>
      <c r="I487" s="5" t="s">
        <v>194</v>
      </c>
      <c r="J487" s="5" t="s">
        <v>199</v>
      </c>
      <c r="K487" s="16" t="n">
        <v>-35000</v>
      </c>
      <c r="L487" s="5" t="s">
        <v>260</v>
      </c>
      <c r="M487" s="17" t="n">
        <v>30033.036339974</v>
      </c>
      <c r="N487" s="3" t="str">
        <f aca="false">IF(OR(K487="",M487=""),"",IF(C487="STATS_ONLY","stats",IF(ROUND(K487/M487,2)=E487,"OK","CHECK")))</f>
        <v>OK</v>
      </c>
      <c r="O487" s="3" t="str">
        <f aca="false">TEXT(D487,"yyyy-mm")</f>
        <v>2026-03</v>
      </c>
      <c r="P487" s="13"/>
    </row>
    <row r="488" customFormat="false" ht="15" hidden="false" customHeight="false" outlineLevel="0" collapsed="false">
      <c r="A488" s="5" t="s">
        <v>28</v>
      </c>
      <c r="B488" s="5" t="n">
        <v>9514</v>
      </c>
      <c r="C488" s="5" t="s">
        <v>259</v>
      </c>
      <c r="D488" s="14" t="n">
        <v>46102</v>
      </c>
      <c r="E488" s="15" t="n">
        <v>-1</v>
      </c>
      <c r="F488" s="5" t="s">
        <v>271</v>
      </c>
      <c r="G488" s="5" t="s">
        <v>178</v>
      </c>
      <c r="H488" s="5" t="s">
        <v>189</v>
      </c>
      <c r="I488" s="5" t="s">
        <v>194</v>
      </c>
      <c r="J488" s="5" t="s">
        <v>181</v>
      </c>
      <c r="K488" s="16" t="n">
        <v>-30000</v>
      </c>
      <c r="L488" s="5" t="s">
        <v>260</v>
      </c>
      <c r="M488" s="17" t="n">
        <v>30033.036339974</v>
      </c>
      <c r="N488" s="3" t="str">
        <f aca="false">IF(OR(K488="",M488=""),"",IF(C488="STATS_ONLY","stats",IF(ROUND(K488/M488,2)=E488,"OK","CHECK")))</f>
        <v>OK</v>
      </c>
      <c r="O488" s="3" t="str">
        <f aca="false">TEXT(D488,"yyyy-mm")</f>
        <v>2026-03</v>
      </c>
      <c r="P488" s="13"/>
    </row>
    <row r="489" customFormat="false" ht="15" hidden="false" customHeight="false" outlineLevel="0" collapsed="false">
      <c r="A489" s="5" t="s">
        <v>28</v>
      </c>
      <c r="B489" s="5" t="n">
        <v>9515</v>
      </c>
      <c r="C489" s="5" t="s">
        <v>259</v>
      </c>
      <c r="D489" s="14" t="n">
        <v>46103</v>
      </c>
      <c r="E489" s="15" t="n">
        <v>-1.5</v>
      </c>
      <c r="F489" s="5" t="s">
        <v>284</v>
      </c>
      <c r="G489" s="5" t="s">
        <v>178</v>
      </c>
      <c r="H489" s="5" t="s">
        <v>189</v>
      </c>
      <c r="I489" s="5" t="s">
        <v>194</v>
      </c>
      <c r="J489" s="5" t="s">
        <v>199</v>
      </c>
      <c r="K489" s="16" t="n">
        <v>-45000</v>
      </c>
      <c r="L489" s="5" t="s">
        <v>260</v>
      </c>
      <c r="M489" s="17" t="n">
        <v>30033.036339974</v>
      </c>
      <c r="N489" s="3" t="str">
        <f aca="false">IF(OR(K489="",M489=""),"",IF(C489="STATS_ONLY","stats",IF(ROUND(K489/M489,2)=E489,"OK","CHECK")))</f>
        <v>OK</v>
      </c>
      <c r="O489" s="3" t="str">
        <f aca="false">TEXT(D489,"yyyy-mm")</f>
        <v>2026-03</v>
      </c>
      <c r="P489" s="13"/>
    </row>
    <row r="490" customFormat="false" ht="15" hidden="false" customHeight="false" outlineLevel="0" collapsed="false">
      <c r="A490" s="5" t="s">
        <v>28</v>
      </c>
      <c r="B490" s="5" t="n">
        <v>9516</v>
      </c>
      <c r="C490" s="5" t="s">
        <v>259</v>
      </c>
      <c r="D490" s="14" t="n">
        <v>46103</v>
      </c>
      <c r="E490" s="15" t="n">
        <v>-0.5</v>
      </c>
      <c r="F490" s="5" t="s">
        <v>279</v>
      </c>
      <c r="G490" s="5" t="s">
        <v>178</v>
      </c>
      <c r="H490" s="5" t="s">
        <v>189</v>
      </c>
      <c r="I490" s="5" t="s">
        <v>194</v>
      </c>
      <c r="J490" s="5" t="s">
        <v>181</v>
      </c>
      <c r="K490" s="16" t="n">
        <v>-15000</v>
      </c>
      <c r="L490" s="5" t="s">
        <v>260</v>
      </c>
      <c r="M490" s="17" t="n">
        <v>30033.036339974</v>
      </c>
      <c r="N490" s="3" t="str">
        <f aca="false">IF(OR(K490="",M490=""),"",IF(C490="STATS_ONLY","stats",IF(ROUND(K490/M490,2)=E490,"OK","CHECK")))</f>
        <v>OK</v>
      </c>
      <c r="O490" s="3" t="str">
        <f aca="false">TEXT(D490,"yyyy-mm")</f>
        <v>2026-03</v>
      </c>
      <c r="P490" s="13"/>
    </row>
    <row r="491" customFormat="false" ht="15" hidden="false" customHeight="false" outlineLevel="0" collapsed="false">
      <c r="A491" s="5" t="s">
        <v>28</v>
      </c>
      <c r="B491" s="5" t="n">
        <v>9625</v>
      </c>
      <c r="C491" s="5" t="s">
        <v>152</v>
      </c>
      <c r="D491" s="14" t="n">
        <v>46104</v>
      </c>
      <c r="E491" s="15" t="n">
        <v>-7</v>
      </c>
      <c r="F491" s="5" t="s">
        <v>249</v>
      </c>
      <c r="G491" s="5" t="s">
        <v>163</v>
      </c>
      <c r="H491" s="5" t="s">
        <v>164</v>
      </c>
      <c r="I491" s="5" t="s">
        <v>250</v>
      </c>
      <c r="J491" s="5"/>
      <c r="K491" s="16"/>
      <c r="L491" s="5"/>
      <c r="M491" s="17"/>
      <c r="N491" s="3" t="str">
        <f aca="false">IF(OR(K491="",M491=""),"",IF(C491="STATS_ONLY","stats",IF(ROUND(K491/M491,2)=E491,"OK","CHECK")))</f>
        <v/>
      </c>
      <c r="O491" s="3" t="str">
        <f aca="false">TEXT(D491,"yyyy-mm")</f>
        <v>2026-03</v>
      </c>
      <c r="P491" s="13"/>
    </row>
    <row r="492" customFormat="false" ht="15" hidden="false" customHeight="false" outlineLevel="0" collapsed="false">
      <c r="A492" s="5" t="s">
        <v>28</v>
      </c>
      <c r="B492" s="5" t="n">
        <v>9517</v>
      </c>
      <c r="C492" s="5" t="s">
        <v>259</v>
      </c>
      <c r="D492" s="14" t="n">
        <v>46105</v>
      </c>
      <c r="E492" s="15" t="n">
        <v>-1.5</v>
      </c>
      <c r="F492" s="5" t="s">
        <v>280</v>
      </c>
      <c r="G492" s="5" t="s">
        <v>178</v>
      </c>
      <c r="H492" s="5" t="s">
        <v>189</v>
      </c>
      <c r="I492" s="5" t="s">
        <v>194</v>
      </c>
      <c r="J492" s="5" t="s">
        <v>209</v>
      </c>
      <c r="K492" s="16" t="n">
        <v>-45000</v>
      </c>
      <c r="L492" s="5" t="s">
        <v>260</v>
      </c>
      <c r="M492" s="17" t="n">
        <v>30033.036339974</v>
      </c>
      <c r="N492" s="3" t="str">
        <f aca="false">IF(OR(K492="",M492=""),"",IF(C492="STATS_ONLY","stats",IF(ROUND(K492/M492,2)=E492,"OK","CHECK")))</f>
        <v>OK</v>
      </c>
      <c r="O492" s="3" t="str">
        <f aca="false">TEXT(D492,"yyyy-mm")</f>
        <v>2026-03</v>
      </c>
      <c r="P492" s="13"/>
    </row>
    <row r="493" customFormat="false" ht="15" hidden="false" customHeight="false" outlineLevel="0" collapsed="false">
      <c r="A493" s="5" t="s">
        <v>28</v>
      </c>
      <c r="B493" s="5" t="n">
        <v>9518</v>
      </c>
      <c r="C493" s="5" t="s">
        <v>259</v>
      </c>
      <c r="D493" s="14" t="n">
        <v>46105</v>
      </c>
      <c r="E493" s="15" t="n">
        <v>-1.66</v>
      </c>
      <c r="F493" s="5" t="s">
        <v>218</v>
      </c>
      <c r="G493" s="5" t="s">
        <v>178</v>
      </c>
      <c r="H493" s="5" t="s">
        <v>189</v>
      </c>
      <c r="I493" s="5" t="s">
        <v>194</v>
      </c>
      <c r="J493" s="5" t="s">
        <v>199</v>
      </c>
      <c r="K493" s="16" t="n">
        <v>-50000</v>
      </c>
      <c r="L493" s="5" t="s">
        <v>260</v>
      </c>
      <c r="M493" s="17" t="n">
        <v>30033.036339974</v>
      </c>
      <c r="N493" s="3" t="str">
        <f aca="false">IF(OR(K493="",M493=""),"",IF(C493="STATS_ONLY","stats",IF(ROUND(K493/M493,2)=E493,"OK","CHECK")))</f>
        <v>OK</v>
      </c>
      <c r="O493" s="3" t="str">
        <f aca="false">TEXT(D493,"yyyy-mm")</f>
        <v>2026-03</v>
      </c>
      <c r="P493" s="13"/>
    </row>
    <row r="494" customFormat="false" ht="15" hidden="false" customHeight="false" outlineLevel="0" collapsed="false">
      <c r="A494" s="5" t="s">
        <v>28</v>
      </c>
      <c r="B494" s="5" t="n">
        <v>9519</v>
      </c>
      <c r="C494" s="5" t="s">
        <v>259</v>
      </c>
      <c r="D494" s="14" t="n">
        <v>46106</v>
      </c>
      <c r="E494" s="15" t="n">
        <v>-1.66</v>
      </c>
      <c r="F494" s="5" t="s">
        <v>273</v>
      </c>
      <c r="G494" s="5" t="s">
        <v>178</v>
      </c>
      <c r="H494" s="5" t="s">
        <v>189</v>
      </c>
      <c r="I494" s="5" t="s">
        <v>194</v>
      </c>
      <c r="J494" s="5" t="s">
        <v>195</v>
      </c>
      <c r="K494" s="16" t="n">
        <v>-50000</v>
      </c>
      <c r="L494" s="5" t="s">
        <v>260</v>
      </c>
      <c r="M494" s="17" t="n">
        <v>30033.036339974</v>
      </c>
      <c r="N494" s="3" t="str">
        <f aca="false">IF(OR(K494="",M494=""),"",IF(C494="STATS_ONLY","stats",IF(ROUND(K494/M494,2)=E494,"OK","CHECK")))</f>
        <v>OK</v>
      </c>
      <c r="O494" s="3" t="str">
        <f aca="false">TEXT(D494,"yyyy-mm")</f>
        <v>2026-03</v>
      </c>
      <c r="P494" s="13"/>
    </row>
    <row r="495" customFormat="false" ht="15" hidden="false" customHeight="false" outlineLevel="0" collapsed="false">
      <c r="A495" s="5" t="s">
        <v>28</v>
      </c>
      <c r="B495" s="5" t="n">
        <v>9520</v>
      </c>
      <c r="C495" s="5" t="s">
        <v>259</v>
      </c>
      <c r="D495" s="14" t="n">
        <v>46106</v>
      </c>
      <c r="E495" s="15" t="n">
        <v>-1.17</v>
      </c>
      <c r="F495" s="5" t="s">
        <v>279</v>
      </c>
      <c r="G495" s="5" t="s">
        <v>178</v>
      </c>
      <c r="H495" s="5" t="s">
        <v>189</v>
      </c>
      <c r="I495" s="5" t="s">
        <v>194</v>
      </c>
      <c r="J495" s="5" t="s">
        <v>181</v>
      </c>
      <c r="K495" s="16" t="n">
        <v>-35000</v>
      </c>
      <c r="L495" s="5" t="s">
        <v>260</v>
      </c>
      <c r="M495" s="17" t="n">
        <v>30033.036339974</v>
      </c>
      <c r="N495" s="3" t="str">
        <f aca="false">IF(OR(K495="",M495=""),"",IF(C495="STATS_ONLY","stats",IF(ROUND(K495/M495,2)=E495,"OK","CHECK")))</f>
        <v>OK</v>
      </c>
      <c r="O495" s="3" t="str">
        <f aca="false">TEXT(D495,"yyyy-mm")</f>
        <v>2026-03</v>
      </c>
      <c r="P495" s="13"/>
    </row>
    <row r="496" customFormat="false" ht="15" hidden="false" customHeight="false" outlineLevel="0" collapsed="false">
      <c r="A496" s="5" t="s">
        <v>28</v>
      </c>
      <c r="B496" s="5" t="n">
        <v>9521</v>
      </c>
      <c r="C496" s="5" t="s">
        <v>259</v>
      </c>
      <c r="D496" s="14" t="n">
        <v>46106</v>
      </c>
      <c r="E496" s="15" t="n">
        <v>-2.16</v>
      </c>
      <c r="F496" s="5" t="s">
        <v>251</v>
      </c>
      <c r="G496" s="5" t="s">
        <v>178</v>
      </c>
      <c r="H496" s="5" t="s">
        <v>189</v>
      </c>
      <c r="I496" s="5" t="s">
        <v>194</v>
      </c>
      <c r="J496" s="5" t="s">
        <v>252</v>
      </c>
      <c r="K496" s="16" t="n">
        <v>-65000</v>
      </c>
      <c r="L496" s="5" t="s">
        <v>260</v>
      </c>
      <c r="M496" s="17" t="n">
        <v>30033.036339974</v>
      </c>
      <c r="N496" s="3" t="str">
        <f aca="false">IF(OR(K496="",M496=""),"",IF(C496="STATS_ONLY","stats",IF(ROUND(K496/M496,2)=E496,"OK","CHECK")))</f>
        <v>OK</v>
      </c>
      <c r="O496" s="3" t="str">
        <f aca="false">TEXT(D496,"yyyy-mm")</f>
        <v>2026-03</v>
      </c>
      <c r="P496" s="13"/>
    </row>
    <row r="497" customFormat="false" ht="15" hidden="false" customHeight="false" outlineLevel="0" collapsed="false">
      <c r="A497" s="5" t="s">
        <v>28</v>
      </c>
      <c r="B497" s="5" t="n">
        <v>9522</v>
      </c>
      <c r="C497" s="5" t="s">
        <v>259</v>
      </c>
      <c r="D497" s="14" t="n">
        <v>46107</v>
      </c>
      <c r="E497" s="15" t="n">
        <v>-1.33</v>
      </c>
      <c r="F497" s="5" t="s">
        <v>261</v>
      </c>
      <c r="G497" s="5" t="s">
        <v>178</v>
      </c>
      <c r="H497" s="5" t="s">
        <v>189</v>
      </c>
      <c r="I497" s="5" t="s">
        <v>194</v>
      </c>
      <c r="J497" s="5" t="s">
        <v>195</v>
      </c>
      <c r="K497" s="16" t="n">
        <v>-40000</v>
      </c>
      <c r="L497" s="5" t="s">
        <v>260</v>
      </c>
      <c r="M497" s="17" t="n">
        <v>30033.036339974</v>
      </c>
      <c r="N497" s="3" t="str">
        <f aca="false">IF(OR(K497="",M497=""),"",IF(C497="STATS_ONLY","stats",IF(ROUND(K497/M497,2)=E497,"OK","CHECK")))</f>
        <v>OK</v>
      </c>
      <c r="O497" s="3" t="str">
        <f aca="false">TEXT(D497,"yyyy-mm")</f>
        <v>2026-03</v>
      </c>
      <c r="P497" s="13"/>
    </row>
    <row r="498" customFormat="false" ht="15" hidden="false" customHeight="false" outlineLevel="0" collapsed="false">
      <c r="A498" s="5" t="s">
        <v>28</v>
      </c>
      <c r="B498" s="5" t="n">
        <v>9523</v>
      </c>
      <c r="C498" s="5" t="s">
        <v>259</v>
      </c>
      <c r="D498" s="14" t="n">
        <v>46107</v>
      </c>
      <c r="E498" s="15" t="n">
        <v>-0.5</v>
      </c>
      <c r="F498" s="5" t="s">
        <v>263</v>
      </c>
      <c r="G498" s="5" t="s">
        <v>178</v>
      </c>
      <c r="H498" s="5" t="s">
        <v>189</v>
      </c>
      <c r="I498" s="5" t="s">
        <v>194</v>
      </c>
      <c r="J498" s="5" t="s">
        <v>181</v>
      </c>
      <c r="K498" s="16" t="n">
        <v>-15000</v>
      </c>
      <c r="L498" s="5" t="s">
        <v>260</v>
      </c>
      <c r="M498" s="17" t="n">
        <v>30033.036339974</v>
      </c>
      <c r="N498" s="3" t="str">
        <f aca="false">IF(OR(K498="",M498=""),"",IF(C498="STATS_ONLY","stats",IF(ROUND(K498/M498,2)=E498,"OK","CHECK")))</f>
        <v>OK</v>
      </c>
      <c r="O498" s="3" t="str">
        <f aca="false">TEXT(D498,"yyyy-mm")</f>
        <v>2026-03</v>
      </c>
      <c r="P498" s="13"/>
    </row>
    <row r="499" customFormat="false" ht="15" hidden="false" customHeight="false" outlineLevel="0" collapsed="false">
      <c r="A499" s="5" t="s">
        <v>28</v>
      </c>
      <c r="B499" s="5" t="n">
        <v>9524</v>
      </c>
      <c r="C499" s="5" t="s">
        <v>259</v>
      </c>
      <c r="D499" s="14" t="n">
        <v>46107</v>
      </c>
      <c r="E499" s="15" t="n">
        <v>-2.33</v>
      </c>
      <c r="F499" s="5" t="s">
        <v>234</v>
      </c>
      <c r="G499" s="5" t="s">
        <v>178</v>
      </c>
      <c r="H499" s="5" t="s">
        <v>189</v>
      </c>
      <c r="I499" s="5" t="s">
        <v>194</v>
      </c>
      <c r="J499" s="5" t="s">
        <v>235</v>
      </c>
      <c r="K499" s="16" t="n">
        <v>-70000</v>
      </c>
      <c r="L499" s="5" t="s">
        <v>260</v>
      </c>
      <c r="M499" s="17" t="n">
        <v>30033.036339974</v>
      </c>
      <c r="N499" s="3" t="str">
        <f aca="false">IF(OR(K499="",M499=""),"",IF(C499="STATS_ONLY","stats",IF(ROUND(K499/M499,2)=E499,"OK","CHECK")))</f>
        <v>OK</v>
      </c>
      <c r="O499" s="3" t="str">
        <f aca="false">TEXT(D499,"yyyy-mm")</f>
        <v>2026-03</v>
      </c>
      <c r="P499" s="13"/>
    </row>
    <row r="500" customFormat="false" ht="15" hidden="false" customHeight="false" outlineLevel="0" collapsed="false">
      <c r="A500" s="5" t="s">
        <v>28</v>
      </c>
      <c r="B500" s="5" t="n">
        <v>9525</v>
      </c>
      <c r="C500" s="5" t="s">
        <v>259</v>
      </c>
      <c r="D500" s="14" t="n">
        <v>46108</v>
      </c>
      <c r="E500" s="15" t="n">
        <v>-1.83</v>
      </c>
      <c r="F500" s="5" t="s">
        <v>278</v>
      </c>
      <c r="G500" s="5" t="s">
        <v>178</v>
      </c>
      <c r="H500" s="5" t="s">
        <v>189</v>
      </c>
      <c r="I500" s="5" t="s">
        <v>194</v>
      </c>
      <c r="J500" s="5" t="s">
        <v>195</v>
      </c>
      <c r="K500" s="16" t="n">
        <v>-55000</v>
      </c>
      <c r="L500" s="5" t="s">
        <v>260</v>
      </c>
      <c r="M500" s="17" t="n">
        <v>30033.036339974</v>
      </c>
      <c r="N500" s="3" t="str">
        <f aca="false">IF(OR(K500="",M500=""),"",IF(C500="STATS_ONLY","stats",IF(ROUND(K500/M500,2)=E500,"OK","CHECK")))</f>
        <v>OK</v>
      </c>
      <c r="O500" s="3" t="str">
        <f aca="false">TEXT(D500,"yyyy-mm")</f>
        <v>2026-03</v>
      </c>
      <c r="P500" s="13"/>
    </row>
    <row r="501" customFormat="false" ht="15" hidden="false" customHeight="false" outlineLevel="0" collapsed="false">
      <c r="A501" s="5" t="s">
        <v>28</v>
      </c>
      <c r="B501" s="5" t="n">
        <v>9526</v>
      </c>
      <c r="C501" s="5" t="s">
        <v>259</v>
      </c>
      <c r="D501" s="14" t="n">
        <v>46108</v>
      </c>
      <c r="E501" s="15" t="n">
        <v>-4.5</v>
      </c>
      <c r="F501" s="5" t="s">
        <v>282</v>
      </c>
      <c r="G501" s="5" t="s">
        <v>178</v>
      </c>
      <c r="H501" s="5" t="s">
        <v>189</v>
      </c>
      <c r="I501" s="5" t="s">
        <v>194</v>
      </c>
      <c r="J501" s="5" t="s">
        <v>197</v>
      </c>
      <c r="K501" s="16" t="n">
        <v>-135000</v>
      </c>
      <c r="L501" s="5" t="s">
        <v>260</v>
      </c>
      <c r="M501" s="17" t="n">
        <v>30033.036339974</v>
      </c>
      <c r="N501" s="3" t="str">
        <f aca="false">IF(OR(K501="",M501=""),"",IF(C501="STATS_ONLY","stats",IF(ROUND(K501/M501,2)=E501,"OK","CHECK")))</f>
        <v>OK</v>
      </c>
      <c r="O501" s="3" t="str">
        <f aca="false">TEXT(D501,"yyyy-mm")</f>
        <v>2026-03</v>
      </c>
      <c r="P501" s="13"/>
    </row>
    <row r="502" customFormat="false" ht="15" hidden="false" customHeight="false" outlineLevel="0" collapsed="false">
      <c r="A502" s="5" t="s">
        <v>28</v>
      </c>
      <c r="B502" s="5" t="n">
        <v>9527</v>
      </c>
      <c r="C502" s="5" t="s">
        <v>259</v>
      </c>
      <c r="D502" s="14" t="n">
        <v>46108</v>
      </c>
      <c r="E502" s="15" t="n">
        <v>-0.83</v>
      </c>
      <c r="F502" s="5" t="s">
        <v>284</v>
      </c>
      <c r="G502" s="5" t="s">
        <v>178</v>
      </c>
      <c r="H502" s="5" t="s">
        <v>189</v>
      </c>
      <c r="I502" s="5" t="s">
        <v>194</v>
      </c>
      <c r="J502" s="5" t="s">
        <v>199</v>
      </c>
      <c r="K502" s="16" t="n">
        <v>-25000</v>
      </c>
      <c r="L502" s="5" t="s">
        <v>260</v>
      </c>
      <c r="M502" s="17" t="n">
        <v>30033.036339974</v>
      </c>
      <c r="N502" s="3" t="str">
        <f aca="false">IF(OR(K502="",M502=""),"",IF(C502="STATS_ONLY","stats",IF(ROUND(K502/M502,2)=E502,"OK","CHECK")))</f>
        <v>OK</v>
      </c>
      <c r="O502" s="3" t="str">
        <f aca="false">TEXT(D502,"yyyy-mm")</f>
        <v>2026-03</v>
      </c>
      <c r="P502" s="13"/>
    </row>
    <row r="503" customFormat="false" ht="15" hidden="false" customHeight="false" outlineLevel="0" collapsed="false">
      <c r="A503" s="5" t="s">
        <v>28</v>
      </c>
      <c r="B503" s="5" t="n">
        <v>9528</v>
      </c>
      <c r="C503" s="5" t="s">
        <v>259</v>
      </c>
      <c r="D503" s="14" t="n">
        <v>46108</v>
      </c>
      <c r="E503" s="15" t="n">
        <v>-0.33</v>
      </c>
      <c r="F503" s="5" t="s">
        <v>271</v>
      </c>
      <c r="G503" s="5" t="s">
        <v>178</v>
      </c>
      <c r="H503" s="5" t="s">
        <v>189</v>
      </c>
      <c r="I503" s="5" t="s">
        <v>194</v>
      </c>
      <c r="J503" s="5" t="s">
        <v>181</v>
      </c>
      <c r="K503" s="16" t="n">
        <v>-10000</v>
      </c>
      <c r="L503" s="5" t="s">
        <v>260</v>
      </c>
      <c r="M503" s="17" t="n">
        <v>30033.036339974</v>
      </c>
      <c r="N503" s="3" t="str">
        <f aca="false">IF(OR(K503="",M503=""),"",IF(C503="STATS_ONLY","stats",IF(ROUND(K503/M503,2)=E503,"OK","CHECK")))</f>
        <v>OK</v>
      </c>
      <c r="O503" s="3" t="str">
        <f aca="false">TEXT(D503,"yyyy-mm")</f>
        <v>2026-03</v>
      </c>
      <c r="P503" s="13"/>
    </row>
    <row r="504" customFormat="false" ht="15" hidden="false" customHeight="false" outlineLevel="0" collapsed="false">
      <c r="A504" s="5" t="s">
        <v>28</v>
      </c>
      <c r="B504" s="5" t="n">
        <v>9529</v>
      </c>
      <c r="C504" s="5" t="s">
        <v>259</v>
      </c>
      <c r="D504" s="14" t="n">
        <v>46109</v>
      </c>
      <c r="E504" s="15" t="n">
        <v>-2.5</v>
      </c>
      <c r="F504" s="5" t="s">
        <v>286</v>
      </c>
      <c r="G504" s="5" t="s">
        <v>178</v>
      </c>
      <c r="H504" s="5" t="s">
        <v>189</v>
      </c>
      <c r="I504" s="5" t="s">
        <v>194</v>
      </c>
      <c r="J504" s="5" t="s">
        <v>209</v>
      </c>
      <c r="K504" s="16" t="n">
        <v>-75000</v>
      </c>
      <c r="L504" s="5" t="s">
        <v>260</v>
      </c>
      <c r="M504" s="17" t="n">
        <v>30033.036339974</v>
      </c>
      <c r="N504" s="3" t="str">
        <f aca="false">IF(OR(K504="",M504=""),"",IF(C504="STATS_ONLY","stats",IF(ROUND(K504/M504,2)=E504,"OK","CHECK")))</f>
        <v>OK</v>
      </c>
      <c r="O504" s="3" t="str">
        <f aca="false">TEXT(D504,"yyyy-mm")</f>
        <v>2026-03</v>
      </c>
      <c r="P504" s="13"/>
    </row>
    <row r="505" customFormat="false" ht="15" hidden="false" customHeight="false" outlineLevel="0" collapsed="false">
      <c r="A505" s="5" t="s">
        <v>28</v>
      </c>
      <c r="B505" s="5" t="n">
        <v>9530</v>
      </c>
      <c r="C505" s="5" t="s">
        <v>259</v>
      </c>
      <c r="D505" s="14" t="n">
        <v>46109</v>
      </c>
      <c r="E505" s="15" t="n">
        <v>-3.33</v>
      </c>
      <c r="F505" s="5" t="s">
        <v>282</v>
      </c>
      <c r="G505" s="5" t="s">
        <v>178</v>
      </c>
      <c r="H505" s="5" t="s">
        <v>189</v>
      </c>
      <c r="I505" s="5" t="s">
        <v>194</v>
      </c>
      <c r="J505" s="5" t="s">
        <v>197</v>
      </c>
      <c r="K505" s="16" t="n">
        <v>-100000</v>
      </c>
      <c r="L505" s="5" t="s">
        <v>260</v>
      </c>
      <c r="M505" s="17" t="n">
        <v>30033.036339974</v>
      </c>
      <c r="N505" s="3" t="str">
        <f aca="false">IF(OR(K505="",M505=""),"",IF(C505="STATS_ONLY","stats",IF(ROUND(K505/M505,2)=E505,"OK","CHECK")))</f>
        <v>OK</v>
      </c>
      <c r="O505" s="3" t="str">
        <f aca="false">TEXT(D505,"yyyy-mm")</f>
        <v>2026-03</v>
      </c>
      <c r="P505" s="13"/>
    </row>
    <row r="506" customFormat="false" ht="15" hidden="false" customHeight="false" outlineLevel="0" collapsed="false">
      <c r="A506" s="5" t="s">
        <v>28</v>
      </c>
      <c r="B506" s="5" t="n">
        <v>9531</v>
      </c>
      <c r="C506" s="5" t="s">
        <v>259</v>
      </c>
      <c r="D506" s="14" t="n">
        <v>46109</v>
      </c>
      <c r="E506" s="15" t="n">
        <v>-0.33</v>
      </c>
      <c r="F506" s="5" t="s">
        <v>271</v>
      </c>
      <c r="G506" s="5" t="s">
        <v>178</v>
      </c>
      <c r="H506" s="5" t="s">
        <v>189</v>
      </c>
      <c r="I506" s="5" t="s">
        <v>194</v>
      </c>
      <c r="J506" s="5" t="s">
        <v>181</v>
      </c>
      <c r="K506" s="16" t="n">
        <v>-10000</v>
      </c>
      <c r="L506" s="5" t="s">
        <v>260</v>
      </c>
      <c r="M506" s="17" t="n">
        <v>30033.036339974</v>
      </c>
      <c r="N506" s="3" t="str">
        <f aca="false">IF(OR(K506="",M506=""),"",IF(C506="STATS_ONLY","stats",IF(ROUND(K506/M506,2)=E506,"OK","CHECK")))</f>
        <v>OK</v>
      </c>
      <c r="O506" s="3" t="str">
        <f aca="false">TEXT(D506,"yyyy-mm")</f>
        <v>2026-03</v>
      </c>
      <c r="P506" s="13"/>
    </row>
    <row r="507" customFormat="false" ht="15" hidden="false" customHeight="false" outlineLevel="0" collapsed="false">
      <c r="A507" s="5" t="s">
        <v>28</v>
      </c>
      <c r="B507" s="5" t="n">
        <v>9532</v>
      </c>
      <c r="C507" s="5" t="s">
        <v>259</v>
      </c>
      <c r="D507" s="14" t="n">
        <v>46109</v>
      </c>
      <c r="E507" s="15" t="n">
        <v>-2.83</v>
      </c>
      <c r="F507" s="5" t="s">
        <v>228</v>
      </c>
      <c r="G507" s="5" t="s">
        <v>178</v>
      </c>
      <c r="H507" s="5" t="s">
        <v>189</v>
      </c>
      <c r="I507" s="5" t="s">
        <v>194</v>
      </c>
      <c r="J507" s="5" t="s">
        <v>229</v>
      </c>
      <c r="K507" s="16" t="n">
        <v>-85000</v>
      </c>
      <c r="L507" s="5" t="s">
        <v>260</v>
      </c>
      <c r="M507" s="17" t="n">
        <v>30033.036339974</v>
      </c>
      <c r="N507" s="3" t="str">
        <f aca="false">IF(OR(K507="",M507=""),"",IF(C507="STATS_ONLY","stats",IF(ROUND(K507/M507,2)=E507,"OK","CHECK")))</f>
        <v>OK</v>
      </c>
      <c r="O507" s="3" t="str">
        <f aca="false">TEXT(D507,"yyyy-mm")</f>
        <v>2026-03</v>
      </c>
      <c r="P507" s="13"/>
    </row>
    <row r="508" customFormat="false" ht="15" hidden="false" customHeight="false" outlineLevel="0" collapsed="false">
      <c r="A508" s="5" t="s">
        <v>28</v>
      </c>
      <c r="B508" s="5" t="n">
        <v>9533</v>
      </c>
      <c r="C508" s="5" t="s">
        <v>259</v>
      </c>
      <c r="D508" s="14" t="n">
        <v>46110</v>
      </c>
      <c r="E508" s="15" t="n">
        <v>-4.5</v>
      </c>
      <c r="F508" s="5" t="s">
        <v>217</v>
      </c>
      <c r="G508" s="5" t="s">
        <v>178</v>
      </c>
      <c r="H508" s="5" t="s">
        <v>189</v>
      </c>
      <c r="I508" s="5" t="s">
        <v>194</v>
      </c>
      <c r="J508" s="5" t="s">
        <v>197</v>
      </c>
      <c r="K508" s="16" t="n">
        <v>-135000</v>
      </c>
      <c r="L508" s="5" t="s">
        <v>260</v>
      </c>
      <c r="M508" s="17" t="n">
        <v>30033.036339974</v>
      </c>
      <c r="N508" s="3" t="str">
        <f aca="false">IF(OR(K508="",M508=""),"",IF(C508="STATS_ONLY","stats",IF(ROUND(K508/M508,2)=E508,"OK","CHECK")))</f>
        <v>OK</v>
      </c>
      <c r="O508" s="3" t="str">
        <f aca="false">TEXT(D508,"yyyy-mm")</f>
        <v>2026-03</v>
      </c>
      <c r="P508" s="13"/>
    </row>
    <row r="509" customFormat="false" ht="15" hidden="false" customHeight="false" outlineLevel="0" collapsed="false">
      <c r="A509" s="5" t="s">
        <v>28</v>
      </c>
      <c r="B509" s="5" t="n">
        <v>9534</v>
      </c>
      <c r="C509" s="5" t="s">
        <v>259</v>
      </c>
      <c r="D509" s="14" t="n">
        <v>46110</v>
      </c>
      <c r="E509" s="15" t="n">
        <v>-2.5</v>
      </c>
      <c r="F509" s="5" t="s">
        <v>228</v>
      </c>
      <c r="G509" s="5" t="s">
        <v>178</v>
      </c>
      <c r="H509" s="5" t="s">
        <v>189</v>
      </c>
      <c r="I509" s="5" t="s">
        <v>194</v>
      </c>
      <c r="J509" s="5" t="s">
        <v>229</v>
      </c>
      <c r="K509" s="16" t="n">
        <v>-75000</v>
      </c>
      <c r="L509" s="5" t="s">
        <v>260</v>
      </c>
      <c r="M509" s="17" t="n">
        <v>30033.036339974</v>
      </c>
      <c r="N509" s="3" t="str">
        <f aca="false">IF(OR(K509="",M509=""),"",IF(C509="STATS_ONLY","stats",IF(ROUND(K509/M509,2)=E509,"OK","CHECK")))</f>
        <v>OK</v>
      </c>
      <c r="O509" s="3" t="str">
        <f aca="false">TEXT(D509,"yyyy-mm")</f>
        <v>2026-03</v>
      </c>
      <c r="P509" s="13"/>
    </row>
    <row r="510" customFormat="false" ht="15" hidden="false" customHeight="false" outlineLevel="0" collapsed="false">
      <c r="A510" s="5" t="s">
        <v>28</v>
      </c>
      <c r="B510" s="5" t="n">
        <v>9535</v>
      </c>
      <c r="C510" s="5" t="s">
        <v>259</v>
      </c>
      <c r="D510" s="14" t="n">
        <v>46111</v>
      </c>
      <c r="E510" s="15" t="n">
        <v>-2.66</v>
      </c>
      <c r="F510" s="5" t="s">
        <v>286</v>
      </c>
      <c r="G510" s="5" t="s">
        <v>178</v>
      </c>
      <c r="H510" s="5" t="s">
        <v>189</v>
      </c>
      <c r="I510" s="5" t="s">
        <v>194</v>
      </c>
      <c r="J510" s="5" t="s">
        <v>209</v>
      </c>
      <c r="K510" s="16" t="n">
        <v>-80000</v>
      </c>
      <c r="L510" s="5" t="s">
        <v>260</v>
      </c>
      <c r="M510" s="17" t="n">
        <v>30033.036339974</v>
      </c>
      <c r="N510" s="3" t="str">
        <f aca="false">IF(OR(K510="",M510=""),"",IF(C510="STATS_ONLY","stats",IF(ROUND(K510/M510,2)=E510,"OK","CHECK")))</f>
        <v>OK</v>
      </c>
      <c r="O510" s="3" t="str">
        <f aca="false">TEXT(D510,"yyyy-mm")</f>
        <v>2026-03</v>
      </c>
      <c r="P510" s="13"/>
    </row>
    <row r="511" customFormat="false" ht="15" hidden="false" customHeight="false" outlineLevel="0" collapsed="false">
      <c r="A511" s="5" t="s">
        <v>28</v>
      </c>
      <c r="B511" s="5" t="n">
        <v>9536</v>
      </c>
      <c r="C511" s="5" t="s">
        <v>259</v>
      </c>
      <c r="D511" s="14" t="n">
        <v>46111</v>
      </c>
      <c r="E511" s="15" t="n">
        <v>-4.33</v>
      </c>
      <c r="F511" s="5" t="s">
        <v>272</v>
      </c>
      <c r="G511" s="5" t="s">
        <v>178</v>
      </c>
      <c r="H511" s="5" t="s">
        <v>189</v>
      </c>
      <c r="I511" s="5" t="s">
        <v>194</v>
      </c>
      <c r="J511" s="5" t="s">
        <v>197</v>
      </c>
      <c r="K511" s="16" t="n">
        <v>-130000</v>
      </c>
      <c r="L511" s="5" t="s">
        <v>260</v>
      </c>
      <c r="M511" s="17" t="n">
        <v>30033.036339974</v>
      </c>
      <c r="N511" s="3" t="str">
        <f aca="false">IF(OR(K511="",M511=""),"",IF(C511="STATS_ONLY","stats",IF(ROUND(K511/M511,2)=E511,"OK","CHECK")))</f>
        <v>OK</v>
      </c>
      <c r="O511" s="3" t="str">
        <f aca="false">TEXT(D511,"yyyy-mm")</f>
        <v>2026-03</v>
      </c>
      <c r="P511" s="13"/>
    </row>
    <row r="512" customFormat="false" ht="15" hidden="false" customHeight="false" outlineLevel="0" collapsed="false">
      <c r="A512" s="5" t="s">
        <v>28</v>
      </c>
      <c r="B512" s="5" t="n">
        <v>9537</v>
      </c>
      <c r="C512" s="5" t="s">
        <v>259</v>
      </c>
      <c r="D512" s="14" t="n">
        <v>46111</v>
      </c>
      <c r="E512" s="15" t="n">
        <v>-1.5</v>
      </c>
      <c r="F512" s="5" t="s">
        <v>284</v>
      </c>
      <c r="G512" s="5" t="s">
        <v>178</v>
      </c>
      <c r="H512" s="5" t="s">
        <v>189</v>
      </c>
      <c r="I512" s="5" t="s">
        <v>194</v>
      </c>
      <c r="J512" s="5" t="s">
        <v>199</v>
      </c>
      <c r="K512" s="16" t="n">
        <v>-45000</v>
      </c>
      <c r="L512" s="5" t="s">
        <v>260</v>
      </c>
      <c r="M512" s="17" t="n">
        <v>30033.036339974</v>
      </c>
      <c r="N512" s="3" t="str">
        <f aca="false">IF(OR(K512="",M512=""),"",IF(C512="STATS_ONLY","stats",IF(ROUND(K512/M512,2)=E512,"OK","CHECK")))</f>
        <v>OK</v>
      </c>
      <c r="O512" s="3" t="str">
        <f aca="false">TEXT(D512,"yyyy-mm")</f>
        <v>2026-03</v>
      </c>
      <c r="P512" s="13"/>
    </row>
    <row r="513" customFormat="false" ht="15" hidden="false" customHeight="false" outlineLevel="0" collapsed="false">
      <c r="A513" s="5" t="s">
        <v>28</v>
      </c>
      <c r="B513" s="5" t="n">
        <v>9538</v>
      </c>
      <c r="C513" s="5" t="s">
        <v>259</v>
      </c>
      <c r="D513" s="14" t="n">
        <v>46112</v>
      </c>
      <c r="E513" s="15" t="n">
        <v>-1.5</v>
      </c>
      <c r="F513" s="5" t="s">
        <v>278</v>
      </c>
      <c r="G513" s="5" t="s">
        <v>178</v>
      </c>
      <c r="H513" s="5" t="s">
        <v>189</v>
      </c>
      <c r="I513" s="5" t="s">
        <v>194</v>
      </c>
      <c r="J513" s="5" t="s">
        <v>195</v>
      </c>
      <c r="K513" s="16" t="n">
        <v>-45000</v>
      </c>
      <c r="L513" s="5" t="s">
        <v>260</v>
      </c>
      <c r="M513" s="17" t="n">
        <v>30033.036339974</v>
      </c>
      <c r="N513" s="3" t="str">
        <f aca="false">IF(OR(K513="",M513=""),"",IF(C513="STATS_ONLY","stats",IF(ROUND(K513/M513,2)=E513,"OK","CHECK")))</f>
        <v>OK</v>
      </c>
      <c r="O513" s="3" t="str">
        <f aca="false">TEXT(D513,"yyyy-mm")</f>
        <v>2026-03</v>
      </c>
      <c r="P513" s="13"/>
    </row>
    <row r="514" customFormat="false" ht="15" hidden="false" customHeight="false" outlineLevel="0" collapsed="false">
      <c r="A514" s="5" t="s">
        <v>28</v>
      </c>
      <c r="B514" s="5" t="n">
        <v>9539</v>
      </c>
      <c r="C514" s="5" t="s">
        <v>259</v>
      </c>
      <c r="D514" s="14" t="n">
        <v>46112</v>
      </c>
      <c r="E514" s="15" t="n">
        <v>-1.5</v>
      </c>
      <c r="F514" s="5" t="s">
        <v>270</v>
      </c>
      <c r="G514" s="5" t="s">
        <v>178</v>
      </c>
      <c r="H514" s="5" t="s">
        <v>189</v>
      </c>
      <c r="I514" s="5" t="s">
        <v>194</v>
      </c>
      <c r="J514" s="5" t="s">
        <v>199</v>
      </c>
      <c r="K514" s="16" t="n">
        <v>-45000</v>
      </c>
      <c r="L514" s="5" t="s">
        <v>260</v>
      </c>
      <c r="M514" s="17" t="n">
        <v>30033.036339974</v>
      </c>
      <c r="N514" s="3" t="str">
        <f aca="false">IF(OR(K514="",M514=""),"",IF(C514="STATS_ONLY","stats",IF(ROUND(K514/M514,2)=E514,"OK","CHECK")))</f>
        <v>OK</v>
      </c>
      <c r="O514" s="3" t="str">
        <f aca="false">TEXT(D514,"yyyy-mm")</f>
        <v>2026-03</v>
      </c>
      <c r="P514" s="13"/>
    </row>
    <row r="515" customFormat="false" ht="15" hidden="false" customHeight="false" outlineLevel="0" collapsed="false">
      <c r="A515" s="5" t="s">
        <v>28</v>
      </c>
      <c r="B515" s="5" t="n">
        <v>9540</v>
      </c>
      <c r="C515" s="5" t="s">
        <v>259</v>
      </c>
      <c r="D515" s="14" t="n">
        <v>46112</v>
      </c>
      <c r="E515" s="15" t="n">
        <v>-0.67</v>
      </c>
      <c r="F515" s="5" t="s">
        <v>271</v>
      </c>
      <c r="G515" s="5" t="s">
        <v>178</v>
      </c>
      <c r="H515" s="5" t="s">
        <v>189</v>
      </c>
      <c r="I515" s="5" t="s">
        <v>194</v>
      </c>
      <c r="J515" s="5" t="s">
        <v>181</v>
      </c>
      <c r="K515" s="16" t="n">
        <v>-20000</v>
      </c>
      <c r="L515" s="5" t="s">
        <v>260</v>
      </c>
      <c r="M515" s="17" t="n">
        <v>30033.036339974</v>
      </c>
      <c r="N515" s="3" t="str">
        <f aca="false">IF(OR(K515="",M515=""),"",IF(C515="STATS_ONLY","stats",IF(ROUND(K515/M515,2)=E515,"OK","CHECK")))</f>
        <v>OK</v>
      </c>
      <c r="O515" s="3" t="str">
        <f aca="false">TEXT(D515,"yyyy-mm")</f>
        <v>2026-03</v>
      </c>
      <c r="P515" s="13"/>
    </row>
    <row r="516" customFormat="false" ht="15" hidden="false" customHeight="false" outlineLevel="0" collapsed="false">
      <c r="A516" s="5" t="s">
        <v>28</v>
      </c>
      <c r="B516" s="5" t="n">
        <v>9541</v>
      </c>
      <c r="C516" s="5" t="s">
        <v>152</v>
      </c>
      <c r="D516" s="14" t="n">
        <v>46113</v>
      </c>
      <c r="E516" s="15" t="n">
        <v>-166.22</v>
      </c>
      <c r="F516" s="5" t="s">
        <v>296</v>
      </c>
      <c r="G516" s="5" t="s">
        <v>167</v>
      </c>
      <c r="H516" s="5" t="s">
        <v>167</v>
      </c>
      <c r="I516" s="5" t="s">
        <v>168</v>
      </c>
      <c r="J516" s="5"/>
      <c r="K516" s="16"/>
      <c r="L516" s="5"/>
      <c r="M516" s="17"/>
      <c r="N516" s="3" t="str">
        <f aca="false">IF(OR(K516="",M516=""),"",IF(C516="STATS_ONLY","stats",IF(ROUND(K516/M516,2)=E516,"OK","CHECK")))</f>
        <v/>
      </c>
      <c r="O516" s="3" t="str">
        <f aca="false">TEXT(D516,"yyyy-mm")</f>
        <v>2026-04</v>
      </c>
      <c r="P516" s="13" t="s">
        <v>169</v>
      </c>
    </row>
    <row r="517" customFormat="false" ht="15" hidden="false" customHeight="false" outlineLevel="0" collapsed="false">
      <c r="A517" s="5" t="s">
        <v>28</v>
      </c>
      <c r="B517" s="5" t="n">
        <v>9541</v>
      </c>
      <c r="C517" s="5" t="s">
        <v>259</v>
      </c>
      <c r="D517" s="14" t="n">
        <v>46113</v>
      </c>
      <c r="E517" s="15" t="n">
        <v>166.22</v>
      </c>
      <c r="F517" s="5" t="s">
        <v>296</v>
      </c>
      <c r="G517" s="5" t="s">
        <v>167</v>
      </c>
      <c r="H517" s="5" t="s">
        <v>167</v>
      </c>
      <c r="I517" s="5" t="s">
        <v>168</v>
      </c>
      <c r="J517" s="5" t="s">
        <v>203</v>
      </c>
      <c r="K517" s="16" t="n">
        <v>5000000</v>
      </c>
      <c r="L517" s="5" t="s">
        <v>260</v>
      </c>
      <c r="M517" s="18" t="n">
        <f aca="false">K517/E517</f>
        <v>30080.6160510167</v>
      </c>
      <c r="N517" s="3" t="str">
        <f aca="false">IF(OR(K517="",M517=""),"",IF(C517="STATS_ONLY","stats",IF(ROUND(K517/M517,2)=E517,"OK","CHECK")))</f>
        <v>OK</v>
      </c>
      <c r="O517" s="3" t="str">
        <f aca="false">TEXT(D517,"yyyy-mm")</f>
        <v>2026-04</v>
      </c>
      <c r="P517" s="13" t="s">
        <v>170</v>
      </c>
    </row>
    <row r="518" customFormat="false" ht="15" hidden="false" customHeight="false" outlineLevel="0" collapsed="false">
      <c r="A518" s="5" t="s">
        <v>28</v>
      </c>
      <c r="B518" s="5" t="n">
        <v>9542</v>
      </c>
      <c r="C518" s="5" t="s">
        <v>259</v>
      </c>
      <c r="D518" s="14" t="n">
        <v>46113</v>
      </c>
      <c r="E518" s="15" t="n">
        <v>-99.73</v>
      </c>
      <c r="F518" s="5" t="s">
        <v>297</v>
      </c>
      <c r="G518" s="5" t="s">
        <v>178</v>
      </c>
      <c r="H518" s="5" t="s">
        <v>189</v>
      </c>
      <c r="I518" s="5" t="s">
        <v>190</v>
      </c>
      <c r="J518" s="5" t="s">
        <v>191</v>
      </c>
      <c r="K518" s="16" t="n">
        <v>-3000000</v>
      </c>
      <c r="L518" s="5" t="s">
        <v>260</v>
      </c>
      <c r="M518" s="17" t="n">
        <v>30080.6160510167</v>
      </c>
      <c r="N518" s="3" t="str">
        <f aca="false">IF(OR(K518="",M518=""),"",IF(C518="STATS_ONLY","stats",IF(ROUND(K518/M518,2)=E518,"OK","CHECK")))</f>
        <v>OK</v>
      </c>
      <c r="O518" s="3" t="str">
        <f aca="false">TEXT(D518,"yyyy-mm")</f>
        <v>2026-04</v>
      </c>
      <c r="P518" s="13"/>
    </row>
    <row r="519" customFormat="false" ht="15" hidden="false" customHeight="false" outlineLevel="0" collapsed="false">
      <c r="A519" s="5" t="s">
        <v>28</v>
      </c>
      <c r="B519" s="5" t="n">
        <v>9543</v>
      </c>
      <c r="C519" s="5" t="s">
        <v>259</v>
      </c>
      <c r="D519" s="14" t="n">
        <v>46113</v>
      </c>
      <c r="E519" s="15" t="n">
        <v>-3.32</v>
      </c>
      <c r="F519" s="5" t="s">
        <v>272</v>
      </c>
      <c r="G519" s="5" t="s">
        <v>178</v>
      </c>
      <c r="H519" s="5" t="s">
        <v>189</v>
      </c>
      <c r="I519" s="5" t="s">
        <v>194</v>
      </c>
      <c r="J519" s="5" t="s">
        <v>197</v>
      </c>
      <c r="K519" s="16" t="n">
        <v>-100000</v>
      </c>
      <c r="L519" s="5" t="s">
        <v>260</v>
      </c>
      <c r="M519" s="17" t="n">
        <v>30080.6160510167</v>
      </c>
      <c r="N519" s="3" t="str">
        <f aca="false">IF(OR(K519="",M519=""),"",IF(C519="STATS_ONLY","stats",IF(ROUND(K519/M519,2)=E519,"OK","CHECK")))</f>
        <v>OK</v>
      </c>
      <c r="O519" s="3" t="str">
        <f aca="false">TEXT(D519,"yyyy-mm")</f>
        <v>2026-04</v>
      </c>
      <c r="P519" s="13"/>
    </row>
    <row r="520" customFormat="false" ht="15" hidden="false" customHeight="false" outlineLevel="0" collapsed="false">
      <c r="A520" s="5" t="s">
        <v>28</v>
      </c>
      <c r="B520" s="5" t="n">
        <v>9544</v>
      </c>
      <c r="C520" s="5" t="s">
        <v>259</v>
      </c>
      <c r="D520" s="14" t="n">
        <v>46113</v>
      </c>
      <c r="E520" s="15" t="n">
        <v>-1.99</v>
      </c>
      <c r="F520" s="5" t="s">
        <v>251</v>
      </c>
      <c r="G520" s="5" t="s">
        <v>178</v>
      </c>
      <c r="H520" s="5" t="s">
        <v>189</v>
      </c>
      <c r="I520" s="5" t="s">
        <v>194</v>
      </c>
      <c r="J520" s="5" t="s">
        <v>252</v>
      </c>
      <c r="K520" s="16" t="n">
        <v>-60000</v>
      </c>
      <c r="L520" s="5" t="s">
        <v>260</v>
      </c>
      <c r="M520" s="17" t="n">
        <v>30080.6160510167</v>
      </c>
      <c r="N520" s="3" t="str">
        <f aca="false">IF(OR(K520="",M520=""),"",IF(C520="STATS_ONLY","stats",IF(ROUND(K520/M520,2)=E520,"OK","CHECK")))</f>
        <v>OK</v>
      </c>
      <c r="O520" s="3" t="str">
        <f aca="false">TEXT(D520,"yyyy-mm")</f>
        <v>2026-04</v>
      </c>
      <c r="P520" s="13"/>
    </row>
    <row r="521" customFormat="false" ht="15" hidden="false" customHeight="false" outlineLevel="0" collapsed="false">
      <c r="A521" s="5" t="s">
        <v>28</v>
      </c>
      <c r="B521" s="5" t="n">
        <v>9628</v>
      </c>
      <c r="C521" s="5" t="s">
        <v>152</v>
      </c>
      <c r="D521" s="14" t="n">
        <v>46113</v>
      </c>
      <c r="E521" s="15" t="n">
        <v>-15</v>
      </c>
      <c r="F521" s="5" t="s">
        <v>162</v>
      </c>
      <c r="G521" s="5" t="s">
        <v>163</v>
      </c>
      <c r="H521" s="5" t="s">
        <v>164</v>
      </c>
      <c r="I521" s="5" t="s">
        <v>165</v>
      </c>
      <c r="J521" s="5"/>
      <c r="K521" s="16"/>
      <c r="L521" s="5"/>
      <c r="M521" s="17"/>
      <c r="N521" s="3" t="str">
        <f aca="false">IF(OR(K521="",M521=""),"",IF(C521="STATS_ONLY","stats",IF(ROUND(K521/M521,2)=E521,"OK","CHECK")))</f>
        <v/>
      </c>
      <c r="O521" s="3" t="str">
        <f aca="false">TEXT(D521,"yyyy-mm")</f>
        <v>2026-04</v>
      </c>
      <c r="P521" s="13"/>
    </row>
    <row r="522" customFormat="false" ht="15" hidden="false" customHeight="false" outlineLevel="0" collapsed="false">
      <c r="A522" s="5" t="s">
        <v>28</v>
      </c>
      <c r="B522" s="5" t="n">
        <v>9629</v>
      </c>
      <c r="C522" s="5" t="s">
        <v>152</v>
      </c>
      <c r="D522" s="14" t="n">
        <v>46113</v>
      </c>
      <c r="E522" s="15" t="n">
        <v>-100</v>
      </c>
      <c r="F522" s="5" t="s">
        <v>166</v>
      </c>
      <c r="G522" s="5" t="s">
        <v>167</v>
      </c>
      <c r="H522" s="5" t="s">
        <v>167</v>
      </c>
      <c r="I522" s="5" t="s">
        <v>168</v>
      </c>
      <c r="J522" s="5"/>
      <c r="K522" s="16"/>
      <c r="L522" s="5"/>
      <c r="M522" s="17"/>
      <c r="N522" s="3" t="str">
        <f aca="false">IF(OR(K522="",M522=""),"",IF(C522="STATS_ONLY","stats",IF(ROUND(K522/M522,2)=E522,"OK","CHECK")))</f>
        <v/>
      </c>
      <c r="O522" s="3" t="str">
        <f aca="false">TEXT(D522,"yyyy-mm")</f>
        <v>2026-04</v>
      </c>
      <c r="P522" s="13" t="s">
        <v>169</v>
      </c>
    </row>
    <row r="523" customFormat="false" ht="15" hidden="false" customHeight="false" outlineLevel="0" collapsed="false">
      <c r="A523" s="5" t="s">
        <v>28</v>
      </c>
      <c r="B523" s="5" t="n">
        <v>9629</v>
      </c>
      <c r="C523" s="5" t="s">
        <v>158</v>
      </c>
      <c r="D523" s="14" t="n">
        <v>46113</v>
      </c>
      <c r="E523" s="15" t="n">
        <v>100</v>
      </c>
      <c r="F523" s="5" t="s">
        <v>166</v>
      </c>
      <c r="G523" s="5" t="s">
        <v>167</v>
      </c>
      <c r="H523" s="5" t="s">
        <v>167</v>
      </c>
      <c r="I523" s="5" t="s">
        <v>168</v>
      </c>
      <c r="J523" s="5"/>
      <c r="K523" s="16"/>
      <c r="L523" s="5"/>
      <c r="M523" s="17"/>
      <c r="N523" s="3" t="str">
        <f aca="false">IF(OR(K523="",M523=""),"",IF(C523="STATS_ONLY","stats",IF(ROUND(K523/M523,2)=E523,"OK","CHECK")))</f>
        <v/>
      </c>
      <c r="O523" s="3" t="str">
        <f aca="false">TEXT(D523,"yyyy-mm")</f>
        <v>2026-04</v>
      </c>
      <c r="P523" s="13" t="s">
        <v>170</v>
      </c>
    </row>
    <row r="524" customFormat="false" ht="15" hidden="false" customHeight="false" outlineLevel="0" collapsed="false">
      <c r="A524" s="5" t="s">
        <v>28</v>
      </c>
      <c r="B524" s="5" t="n">
        <v>9654</v>
      </c>
      <c r="C524" s="5" t="s">
        <v>157</v>
      </c>
      <c r="D524" s="14" t="n">
        <v>46113</v>
      </c>
      <c r="E524" s="15" t="n">
        <v>37.1</v>
      </c>
      <c r="F524" s="5" t="s">
        <v>298</v>
      </c>
      <c r="G524" s="5" t="s">
        <v>265</v>
      </c>
      <c r="H524" s="5" t="s">
        <v>266</v>
      </c>
      <c r="I524" s="5" t="s">
        <v>267</v>
      </c>
      <c r="J524" s="5"/>
      <c r="K524" s="16"/>
      <c r="L524" s="5"/>
      <c r="M524" s="17"/>
      <c r="N524" s="3" t="str">
        <f aca="false">IF(OR(K524="",M524=""),"",IF(C524="STATS_ONLY","stats",IF(ROUND(K524/M524,2)=E524,"OK","CHECK")))</f>
        <v/>
      </c>
      <c r="O524" s="3" t="str">
        <f aca="false">TEXT(D524,"yyyy-mm")</f>
        <v>2026-04</v>
      </c>
      <c r="P524" s="13"/>
    </row>
    <row r="525" customFormat="false" ht="15" hidden="false" customHeight="false" outlineLevel="0" collapsed="false">
      <c r="A525" s="5" t="s">
        <v>28</v>
      </c>
      <c r="B525" s="5" t="n">
        <v>9545</v>
      </c>
      <c r="C525" s="5" t="s">
        <v>259</v>
      </c>
      <c r="D525" s="14" t="n">
        <v>46114</v>
      </c>
      <c r="E525" s="15" t="n">
        <v>-1.16</v>
      </c>
      <c r="F525" s="5" t="s">
        <v>261</v>
      </c>
      <c r="G525" s="5" t="s">
        <v>178</v>
      </c>
      <c r="H525" s="5" t="s">
        <v>189</v>
      </c>
      <c r="I525" s="5" t="s">
        <v>194</v>
      </c>
      <c r="J525" s="5" t="s">
        <v>195</v>
      </c>
      <c r="K525" s="16" t="n">
        <v>-35000</v>
      </c>
      <c r="L525" s="5" t="s">
        <v>260</v>
      </c>
      <c r="M525" s="17" t="n">
        <v>30080.6160510167</v>
      </c>
      <c r="N525" s="3" t="str">
        <f aca="false">IF(OR(K525="",M525=""),"",IF(C525="STATS_ONLY","stats",IF(ROUND(K525/M525,2)=E525,"OK","CHECK")))</f>
        <v>OK</v>
      </c>
      <c r="O525" s="3" t="str">
        <f aca="false">TEXT(D525,"yyyy-mm")</f>
        <v>2026-04</v>
      </c>
      <c r="P525" s="13"/>
    </row>
    <row r="526" customFormat="false" ht="15" hidden="false" customHeight="false" outlineLevel="0" collapsed="false">
      <c r="A526" s="5" t="s">
        <v>28</v>
      </c>
      <c r="B526" s="5" t="n">
        <v>9546</v>
      </c>
      <c r="C526" s="5" t="s">
        <v>259</v>
      </c>
      <c r="D526" s="14" t="n">
        <v>46114</v>
      </c>
      <c r="E526" s="15" t="n">
        <v>-1.99</v>
      </c>
      <c r="F526" s="5" t="s">
        <v>272</v>
      </c>
      <c r="G526" s="5" t="s">
        <v>178</v>
      </c>
      <c r="H526" s="5" t="s">
        <v>189</v>
      </c>
      <c r="I526" s="5" t="s">
        <v>194</v>
      </c>
      <c r="J526" s="5" t="s">
        <v>197</v>
      </c>
      <c r="K526" s="16" t="n">
        <v>-60000</v>
      </c>
      <c r="L526" s="5" t="s">
        <v>260</v>
      </c>
      <c r="M526" s="17" t="n">
        <v>30080.6160510167</v>
      </c>
      <c r="N526" s="3" t="str">
        <f aca="false">IF(OR(K526="",M526=""),"",IF(C526="STATS_ONLY","stats",IF(ROUND(K526/M526,2)=E526,"OK","CHECK")))</f>
        <v>OK</v>
      </c>
      <c r="O526" s="3" t="str">
        <f aca="false">TEXT(D526,"yyyy-mm")</f>
        <v>2026-04</v>
      </c>
      <c r="P526" s="13"/>
    </row>
    <row r="527" customFormat="false" ht="15" hidden="false" customHeight="false" outlineLevel="0" collapsed="false">
      <c r="A527" s="5" t="s">
        <v>28</v>
      </c>
      <c r="B527" s="5" t="n">
        <v>9547</v>
      </c>
      <c r="C527" s="5" t="s">
        <v>259</v>
      </c>
      <c r="D527" s="14" t="n">
        <v>46114</v>
      </c>
      <c r="E527" s="15" t="n">
        <v>-1.33</v>
      </c>
      <c r="F527" s="5" t="s">
        <v>270</v>
      </c>
      <c r="G527" s="5" t="s">
        <v>178</v>
      </c>
      <c r="H527" s="5" t="s">
        <v>189</v>
      </c>
      <c r="I527" s="5" t="s">
        <v>194</v>
      </c>
      <c r="J527" s="5" t="s">
        <v>199</v>
      </c>
      <c r="K527" s="16" t="n">
        <v>-40000</v>
      </c>
      <c r="L527" s="5" t="s">
        <v>260</v>
      </c>
      <c r="M527" s="17" t="n">
        <v>30080.6160510167</v>
      </c>
      <c r="N527" s="3" t="str">
        <f aca="false">IF(OR(K527="",M527=""),"",IF(C527="STATS_ONLY","stats",IF(ROUND(K527/M527,2)=E527,"OK","CHECK")))</f>
        <v>OK</v>
      </c>
      <c r="O527" s="3" t="str">
        <f aca="false">TEXT(D527,"yyyy-mm")</f>
        <v>2026-04</v>
      </c>
      <c r="P527" s="13"/>
    </row>
    <row r="528" customFormat="false" ht="15" hidden="false" customHeight="false" outlineLevel="0" collapsed="false">
      <c r="A528" s="5" t="s">
        <v>28</v>
      </c>
      <c r="B528" s="5" t="n">
        <v>9548</v>
      </c>
      <c r="C528" s="5" t="s">
        <v>259</v>
      </c>
      <c r="D528" s="14" t="n">
        <v>46114</v>
      </c>
      <c r="E528" s="15" t="n">
        <v>-0.33</v>
      </c>
      <c r="F528" s="5" t="s">
        <v>263</v>
      </c>
      <c r="G528" s="5" t="s">
        <v>178</v>
      </c>
      <c r="H528" s="5" t="s">
        <v>189</v>
      </c>
      <c r="I528" s="5" t="s">
        <v>194</v>
      </c>
      <c r="J528" s="5" t="s">
        <v>181</v>
      </c>
      <c r="K528" s="16" t="n">
        <v>-10000</v>
      </c>
      <c r="L528" s="5" t="s">
        <v>260</v>
      </c>
      <c r="M528" s="17" t="n">
        <v>30080.6160510167</v>
      </c>
      <c r="N528" s="3" t="str">
        <f aca="false">IF(OR(K528="",M528=""),"",IF(C528="STATS_ONLY","stats",IF(ROUND(K528/M528,2)=E528,"OK","CHECK")))</f>
        <v>OK</v>
      </c>
      <c r="O528" s="3" t="str">
        <f aca="false">TEXT(D528,"yyyy-mm")</f>
        <v>2026-04</v>
      </c>
      <c r="P528" s="13"/>
    </row>
    <row r="529" customFormat="false" ht="15" hidden="false" customHeight="false" outlineLevel="0" collapsed="false">
      <c r="A529" s="5" t="s">
        <v>28</v>
      </c>
      <c r="B529" s="5" t="n">
        <v>9549</v>
      </c>
      <c r="C529" s="5" t="s">
        <v>259</v>
      </c>
      <c r="D529" s="14" t="n">
        <v>46115</v>
      </c>
      <c r="E529" s="15" t="n">
        <v>-1.83</v>
      </c>
      <c r="F529" s="5" t="s">
        <v>273</v>
      </c>
      <c r="G529" s="5" t="s">
        <v>178</v>
      </c>
      <c r="H529" s="5" t="s">
        <v>189</v>
      </c>
      <c r="I529" s="5" t="s">
        <v>194</v>
      </c>
      <c r="J529" s="5" t="s">
        <v>195</v>
      </c>
      <c r="K529" s="16" t="n">
        <v>-55000</v>
      </c>
      <c r="L529" s="5" t="s">
        <v>260</v>
      </c>
      <c r="M529" s="17" t="n">
        <v>30080.6160510167</v>
      </c>
      <c r="N529" s="3" t="str">
        <f aca="false">IF(OR(K529="",M529=""),"",IF(C529="STATS_ONLY","stats",IF(ROUND(K529/M529,2)=E529,"OK","CHECK")))</f>
        <v>OK</v>
      </c>
      <c r="O529" s="3" t="str">
        <f aca="false">TEXT(D529,"yyyy-mm")</f>
        <v>2026-04</v>
      </c>
      <c r="P529" s="13"/>
    </row>
    <row r="530" customFormat="false" ht="15" hidden="false" customHeight="false" outlineLevel="0" collapsed="false">
      <c r="A530" s="5" t="s">
        <v>28</v>
      </c>
      <c r="B530" s="5" t="n">
        <v>9550</v>
      </c>
      <c r="C530" s="5" t="s">
        <v>259</v>
      </c>
      <c r="D530" s="14" t="n">
        <v>46115</v>
      </c>
      <c r="E530" s="15" t="n">
        <v>-1.66</v>
      </c>
      <c r="F530" s="5" t="s">
        <v>280</v>
      </c>
      <c r="G530" s="5" t="s">
        <v>178</v>
      </c>
      <c r="H530" s="5" t="s">
        <v>189</v>
      </c>
      <c r="I530" s="5" t="s">
        <v>194</v>
      </c>
      <c r="J530" s="5" t="s">
        <v>209</v>
      </c>
      <c r="K530" s="16" t="n">
        <v>-50000</v>
      </c>
      <c r="L530" s="5" t="s">
        <v>260</v>
      </c>
      <c r="M530" s="17" t="n">
        <v>30080.6160510167</v>
      </c>
      <c r="N530" s="3" t="str">
        <f aca="false">IF(OR(K530="",M530=""),"",IF(C530="STATS_ONLY","stats",IF(ROUND(K530/M530,2)=E530,"OK","CHECK")))</f>
        <v>OK</v>
      </c>
      <c r="O530" s="3" t="str">
        <f aca="false">TEXT(D530,"yyyy-mm")</f>
        <v>2026-04</v>
      </c>
      <c r="P530" s="13"/>
    </row>
    <row r="531" customFormat="false" ht="15" hidden="false" customHeight="false" outlineLevel="0" collapsed="false">
      <c r="A531" s="5" t="s">
        <v>28</v>
      </c>
      <c r="B531" s="5" t="n">
        <v>9551</v>
      </c>
      <c r="C531" s="5" t="s">
        <v>259</v>
      </c>
      <c r="D531" s="14" t="n">
        <v>46115</v>
      </c>
      <c r="E531" s="15" t="n">
        <v>-1.16</v>
      </c>
      <c r="F531" s="5" t="s">
        <v>218</v>
      </c>
      <c r="G531" s="5" t="s">
        <v>178</v>
      </c>
      <c r="H531" s="5" t="s">
        <v>189</v>
      </c>
      <c r="I531" s="5" t="s">
        <v>194</v>
      </c>
      <c r="J531" s="5" t="s">
        <v>199</v>
      </c>
      <c r="K531" s="16" t="n">
        <v>-35000</v>
      </c>
      <c r="L531" s="5" t="s">
        <v>260</v>
      </c>
      <c r="M531" s="17" t="n">
        <v>30080.6160510167</v>
      </c>
      <c r="N531" s="3" t="str">
        <f aca="false">IF(OR(K531="",M531=""),"",IF(C531="STATS_ONLY","stats",IF(ROUND(K531/M531,2)=E531,"OK","CHECK")))</f>
        <v>OK</v>
      </c>
      <c r="O531" s="3" t="str">
        <f aca="false">TEXT(D531,"yyyy-mm")</f>
        <v>2026-04</v>
      </c>
      <c r="P531" s="13"/>
    </row>
    <row r="532" customFormat="false" ht="15" hidden="false" customHeight="false" outlineLevel="0" collapsed="false">
      <c r="A532" s="5" t="s">
        <v>28</v>
      </c>
      <c r="B532" s="5" t="n">
        <v>9552</v>
      </c>
      <c r="C532" s="5" t="s">
        <v>259</v>
      </c>
      <c r="D532" s="14" t="n">
        <v>46115</v>
      </c>
      <c r="E532" s="15" t="n">
        <v>-1</v>
      </c>
      <c r="F532" s="5" t="s">
        <v>263</v>
      </c>
      <c r="G532" s="5" t="s">
        <v>178</v>
      </c>
      <c r="H532" s="5" t="s">
        <v>189</v>
      </c>
      <c r="I532" s="5" t="s">
        <v>194</v>
      </c>
      <c r="J532" s="5" t="s">
        <v>181</v>
      </c>
      <c r="K532" s="16" t="n">
        <v>-30000</v>
      </c>
      <c r="L532" s="5" t="s">
        <v>260</v>
      </c>
      <c r="M532" s="17" t="n">
        <v>30080.6160510167</v>
      </c>
      <c r="N532" s="3" t="str">
        <f aca="false">IF(OR(K532="",M532=""),"",IF(C532="STATS_ONLY","stats",IF(ROUND(K532/M532,2)=E532,"OK","CHECK")))</f>
        <v>OK</v>
      </c>
      <c r="O532" s="3" t="str">
        <f aca="false">TEXT(D532,"yyyy-mm")</f>
        <v>2026-04</v>
      </c>
      <c r="P532" s="13"/>
    </row>
    <row r="533" customFormat="false" ht="15" hidden="false" customHeight="false" outlineLevel="0" collapsed="false">
      <c r="A533" s="5" t="s">
        <v>28</v>
      </c>
      <c r="B533" s="5" t="n">
        <v>9553</v>
      </c>
      <c r="C533" s="5" t="s">
        <v>259</v>
      </c>
      <c r="D533" s="14" t="n">
        <v>46115</v>
      </c>
      <c r="E533" s="15" t="n">
        <v>-5.98</v>
      </c>
      <c r="F533" s="5" t="s">
        <v>223</v>
      </c>
      <c r="G533" s="5" t="s">
        <v>178</v>
      </c>
      <c r="H533" s="5" t="s">
        <v>189</v>
      </c>
      <c r="I533" s="5" t="s">
        <v>194</v>
      </c>
      <c r="J533" s="5" t="s">
        <v>206</v>
      </c>
      <c r="K533" s="16" t="n">
        <v>-180000</v>
      </c>
      <c r="L533" s="5" t="s">
        <v>260</v>
      </c>
      <c r="M533" s="17" t="n">
        <v>30080.6160510167</v>
      </c>
      <c r="N533" s="3" t="str">
        <f aca="false">IF(OR(K533="",M533=""),"",IF(C533="STATS_ONLY","stats",IF(ROUND(K533/M533,2)=E533,"OK","CHECK")))</f>
        <v>OK</v>
      </c>
      <c r="O533" s="3" t="str">
        <f aca="false">TEXT(D533,"yyyy-mm")</f>
        <v>2026-04</v>
      </c>
      <c r="P533" s="13"/>
    </row>
    <row r="534" customFormat="false" ht="15" hidden="false" customHeight="false" outlineLevel="0" collapsed="false">
      <c r="A534" s="5" t="s">
        <v>28</v>
      </c>
      <c r="B534" s="5" t="n">
        <v>9554</v>
      </c>
      <c r="C534" s="5" t="s">
        <v>259</v>
      </c>
      <c r="D534" s="14" t="n">
        <v>46116</v>
      </c>
      <c r="E534" s="15" t="n">
        <v>-1.33</v>
      </c>
      <c r="F534" s="5" t="s">
        <v>284</v>
      </c>
      <c r="G534" s="5" t="s">
        <v>178</v>
      </c>
      <c r="H534" s="5" t="s">
        <v>189</v>
      </c>
      <c r="I534" s="5" t="s">
        <v>194</v>
      </c>
      <c r="J534" s="5" t="s">
        <v>199</v>
      </c>
      <c r="K534" s="16" t="n">
        <v>-40000</v>
      </c>
      <c r="L534" s="5" t="s">
        <v>260</v>
      </c>
      <c r="M534" s="17" t="n">
        <v>30080.6160510167</v>
      </c>
      <c r="N534" s="3" t="str">
        <f aca="false">IF(OR(K534="",M534=""),"",IF(C534="STATS_ONLY","stats",IF(ROUND(K534/M534,2)=E534,"OK","CHECK")))</f>
        <v>OK</v>
      </c>
      <c r="O534" s="3" t="str">
        <f aca="false">TEXT(D534,"yyyy-mm")</f>
        <v>2026-04</v>
      </c>
      <c r="P534" s="13"/>
    </row>
    <row r="535" customFormat="false" ht="15" hidden="false" customHeight="false" outlineLevel="0" collapsed="false">
      <c r="A535" s="5" t="s">
        <v>28</v>
      </c>
      <c r="B535" s="5" t="n">
        <v>9555</v>
      </c>
      <c r="C535" s="5" t="s">
        <v>259</v>
      </c>
      <c r="D535" s="14" t="n">
        <v>46116</v>
      </c>
      <c r="E535" s="15" t="n">
        <v>-0.66</v>
      </c>
      <c r="F535" s="5" t="s">
        <v>263</v>
      </c>
      <c r="G535" s="5" t="s">
        <v>178</v>
      </c>
      <c r="H535" s="5" t="s">
        <v>189</v>
      </c>
      <c r="I535" s="5" t="s">
        <v>194</v>
      </c>
      <c r="J535" s="5" t="s">
        <v>181</v>
      </c>
      <c r="K535" s="16" t="n">
        <v>-20000</v>
      </c>
      <c r="L535" s="5" t="s">
        <v>260</v>
      </c>
      <c r="M535" s="17" t="n">
        <v>30080.6160510167</v>
      </c>
      <c r="N535" s="3" t="str">
        <f aca="false">IF(OR(K535="",M535=""),"",IF(C535="STATS_ONLY","stats",IF(ROUND(K535/M535,2)=E535,"OK","CHECK")))</f>
        <v>OK</v>
      </c>
      <c r="O535" s="3" t="str">
        <f aca="false">TEXT(D535,"yyyy-mm")</f>
        <v>2026-04</v>
      </c>
      <c r="P535" s="13"/>
    </row>
    <row r="536" customFormat="false" ht="15" hidden="false" customHeight="false" outlineLevel="0" collapsed="false">
      <c r="A536" s="5" t="s">
        <v>28</v>
      </c>
      <c r="B536" s="5" t="n">
        <v>9556</v>
      </c>
      <c r="C536" s="5" t="s">
        <v>259</v>
      </c>
      <c r="D536" s="14" t="n">
        <v>46117</v>
      </c>
      <c r="E536" s="15" t="n">
        <v>-1.16</v>
      </c>
      <c r="F536" s="5" t="s">
        <v>273</v>
      </c>
      <c r="G536" s="5" t="s">
        <v>178</v>
      </c>
      <c r="H536" s="5" t="s">
        <v>189</v>
      </c>
      <c r="I536" s="5" t="s">
        <v>194</v>
      </c>
      <c r="J536" s="5" t="s">
        <v>195</v>
      </c>
      <c r="K536" s="16" t="n">
        <v>-35000</v>
      </c>
      <c r="L536" s="5" t="s">
        <v>260</v>
      </c>
      <c r="M536" s="17" t="n">
        <v>30080.6160510167</v>
      </c>
      <c r="N536" s="3" t="str">
        <f aca="false">IF(OR(K536="",M536=""),"",IF(C536="STATS_ONLY","stats",IF(ROUND(K536/M536,2)=E536,"OK","CHECK")))</f>
        <v>OK</v>
      </c>
      <c r="O536" s="3" t="str">
        <f aca="false">TEXT(D536,"yyyy-mm")</f>
        <v>2026-04</v>
      </c>
      <c r="P536" s="13"/>
    </row>
    <row r="537" customFormat="false" ht="15" hidden="false" customHeight="false" outlineLevel="0" collapsed="false">
      <c r="A537" s="5" t="s">
        <v>28</v>
      </c>
      <c r="B537" s="5" t="n">
        <v>9557</v>
      </c>
      <c r="C537" s="5" t="s">
        <v>259</v>
      </c>
      <c r="D537" s="14" t="n">
        <v>46117</v>
      </c>
      <c r="E537" s="15" t="n">
        <v>-1.66</v>
      </c>
      <c r="F537" s="5" t="s">
        <v>280</v>
      </c>
      <c r="G537" s="5" t="s">
        <v>178</v>
      </c>
      <c r="H537" s="5" t="s">
        <v>189</v>
      </c>
      <c r="I537" s="5" t="s">
        <v>194</v>
      </c>
      <c r="J537" s="5" t="s">
        <v>209</v>
      </c>
      <c r="K537" s="16" t="n">
        <v>-50000</v>
      </c>
      <c r="L537" s="5" t="s">
        <v>260</v>
      </c>
      <c r="M537" s="17" t="n">
        <v>30080.6160510167</v>
      </c>
      <c r="N537" s="3" t="str">
        <f aca="false">IF(OR(K537="",M537=""),"",IF(C537="STATS_ONLY","stats",IF(ROUND(K537/M537,2)=E537,"OK","CHECK")))</f>
        <v>OK</v>
      </c>
      <c r="O537" s="3" t="str">
        <f aca="false">TEXT(D537,"yyyy-mm")</f>
        <v>2026-04</v>
      </c>
      <c r="P537" s="13"/>
    </row>
    <row r="538" customFormat="false" ht="15" hidden="false" customHeight="false" outlineLevel="0" collapsed="false">
      <c r="A538" s="5" t="s">
        <v>28</v>
      </c>
      <c r="B538" s="5" t="n">
        <v>9558</v>
      </c>
      <c r="C538" s="5" t="s">
        <v>259</v>
      </c>
      <c r="D538" s="14" t="n">
        <v>46117</v>
      </c>
      <c r="E538" s="15" t="n">
        <v>-1.5</v>
      </c>
      <c r="F538" s="5" t="s">
        <v>284</v>
      </c>
      <c r="G538" s="5" t="s">
        <v>178</v>
      </c>
      <c r="H538" s="5" t="s">
        <v>189</v>
      </c>
      <c r="I538" s="5" t="s">
        <v>194</v>
      </c>
      <c r="J538" s="5" t="s">
        <v>199</v>
      </c>
      <c r="K538" s="16" t="n">
        <v>-45000</v>
      </c>
      <c r="L538" s="5" t="s">
        <v>260</v>
      </c>
      <c r="M538" s="17" t="n">
        <v>30080.6160510167</v>
      </c>
      <c r="N538" s="3" t="str">
        <f aca="false">IF(OR(K538="",M538=""),"",IF(C538="STATS_ONLY","stats",IF(ROUND(K538/M538,2)=E538,"OK","CHECK")))</f>
        <v>OK</v>
      </c>
      <c r="O538" s="3" t="str">
        <f aca="false">TEXT(D538,"yyyy-mm")</f>
        <v>2026-04</v>
      </c>
      <c r="P538" s="13"/>
    </row>
    <row r="539" customFormat="false" ht="15" hidden="false" customHeight="false" outlineLevel="0" collapsed="false">
      <c r="A539" s="5" t="s">
        <v>28</v>
      </c>
      <c r="B539" s="5" t="n">
        <v>9630</v>
      </c>
      <c r="C539" s="5" t="s">
        <v>152</v>
      </c>
      <c r="D539" s="14" t="n">
        <v>46117</v>
      </c>
      <c r="E539" s="15" t="n">
        <v>-45</v>
      </c>
      <c r="F539" s="5" t="s">
        <v>200</v>
      </c>
      <c r="G539" s="5" t="s">
        <v>163</v>
      </c>
      <c r="H539" s="5" t="s">
        <v>164</v>
      </c>
      <c r="I539" s="5" t="s">
        <v>201</v>
      </c>
      <c r="J539" s="5"/>
      <c r="K539" s="16"/>
      <c r="L539" s="5"/>
      <c r="M539" s="17"/>
      <c r="N539" s="3" t="str">
        <f aca="false">IF(OR(K539="",M539=""),"",IF(C539="STATS_ONLY","stats",IF(ROUND(K539/M539,2)=E539,"OK","CHECK")))</f>
        <v/>
      </c>
      <c r="O539" s="3" t="str">
        <f aca="false">TEXT(D539,"yyyy-mm")</f>
        <v>2026-04</v>
      </c>
      <c r="P539" s="13"/>
    </row>
    <row r="540" customFormat="false" ht="15" hidden="false" customHeight="false" outlineLevel="0" collapsed="false">
      <c r="A540" s="5" t="s">
        <v>28</v>
      </c>
      <c r="B540" s="5" t="n">
        <v>9559</v>
      </c>
      <c r="C540" s="5" t="s">
        <v>259</v>
      </c>
      <c r="D540" s="14" t="n">
        <v>46118</v>
      </c>
      <c r="E540" s="15" t="n">
        <v>-1.66</v>
      </c>
      <c r="F540" s="5" t="s">
        <v>261</v>
      </c>
      <c r="G540" s="5" t="s">
        <v>178</v>
      </c>
      <c r="H540" s="5" t="s">
        <v>189</v>
      </c>
      <c r="I540" s="5" t="s">
        <v>194</v>
      </c>
      <c r="J540" s="5" t="s">
        <v>195</v>
      </c>
      <c r="K540" s="16" t="n">
        <v>-50000</v>
      </c>
      <c r="L540" s="5" t="s">
        <v>260</v>
      </c>
      <c r="M540" s="17" t="n">
        <v>30080.6160510167</v>
      </c>
      <c r="N540" s="3" t="str">
        <f aca="false">IF(OR(K540="",M540=""),"",IF(C540="STATS_ONLY","stats",IF(ROUND(K540/M540,2)=E540,"OK","CHECK")))</f>
        <v>OK</v>
      </c>
      <c r="O540" s="3" t="str">
        <f aca="false">TEXT(D540,"yyyy-mm")</f>
        <v>2026-04</v>
      </c>
      <c r="P540" s="13"/>
    </row>
    <row r="541" customFormat="false" ht="15" hidden="false" customHeight="false" outlineLevel="0" collapsed="false">
      <c r="A541" s="5" t="s">
        <v>28</v>
      </c>
      <c r="B541" s="5" t="n">
        <v>9560</v>
      </c>
      <c r="C541" s="5" t="s">
        <v>259</v>
      </c>
      <c r="D541" s="14" t="n">
        <v>46118</v>
      </c>
      <c r="E541" s="15" t="n">
        <v>-2.49</v>
      </c>
      <c r="F541" s="5" t="s">
        <v>280</v>
      </c>
      <c r="G541" s="5" t="s">
        <v>178</v>
      </c>
      <c r="H541" s="5" t="s">
        <v>189</v>
      </c>
      <c r="I541" s="5" t="s">
        <v>194</v>
      </c>
      <c r="J541" s="5" t="s">
        <v>209</v>
      </c>
      <c r="K541" s="16" t="n">
        <v>-75000</v>
      </c>
      <c r="L541" s="5" t="s">
        <v>260</v>
      </c>
      <c r="M541" s="17" t="n">
        <v>30080.6160510167</v>
      </c>
      <c r="N541" s="3" t="str">
        <f aca="false">IF(OR(K541="",M541=""),"",IF(C541="STATS_ONLY","stats",IF(ROUND(K541/M541,2)=E541,"OK","CHECK")))</f>
        <v>OK</v>
      </c>
      <c r="O541" s="3" t="str">
        <f aca="false">TEXT(D541,"yyyy-mm")</f>
        <v>2026-04</v>
      </c>
      <c r="P541" s="13"/>
    </row>
    <row r="542" customFormat="false" ht="15" hidden="false" customHeight="false" outlineLevel="0" collapsed="false">
      <c r="A542" s="5" t="s">
        <v>28</v>
      </c>
      <c r="B542" s="5" t="n">
        <v>9561</v>
      </c>
      <c r="C542" s="5" t="s">
        <v>259</v>
      </c>
      <c r="D542" s="14" t="n">
        <v>46118</v>
      </c>
      <c r="E542" s="15" t="n">
        <v>-4.65</v>
      </c>
      <c r="F542" s="5" t="s">
        <v>281</v>
      </c>
      <c r="G542" s="5" t="s">
        <v>178</v>
      </c>
      <c r="H542" s="5" t="s">
        <v>189</v>
      </c>
      <c r="I542" s="5" t="s">
        <v>194</v>
      </c>
      <c r="J542" s="5" t="s">
        <v>197</v>
      </c>
      <c r="K542" s="16" t="n">
        <v>-140000</v>
      </c>
      <c r="L542" s="5" t="s">
        <v>260</v>
      </c>
      <c r="M542" s="17" t="n">
        <v>30080.6160510167</v>
      </c>
      <c r="N542" s="3" t="str">
        <f aca="false">IF(OR(K542="",M542=""),"",IF(C542="STATS_ONLY","stats",IF(ROUND(K542/M542,2)=E542,"OK","CHECK")))</f>
        <v>OK</v>
      </c>
      <c r="O542" s="3" t="str">
        <f aca="false">TEXT(D542,"yyyy-mm")</f>
        <v>2026-04</v>
      </c>
      <c r="P542" s="13"/>
    </row>
    <row r="543" customFormat="false" ht="15" hidden="false" customHeight="false" outlineLevel="0" collapsed="false">
      <c r="A543" s="5" t="s">
        <v>28</v>
      </c>
      <c r="B543" s="5" t="n">
        <v>9562</v>
      </c>
      <c r="C543" s="5" t="s">
        <v>259</v>
      </c>
      <c r="D543" s="14" t="n">
        <v>46118</v>
      </c>
      <c r="E543" s="15" t="n">
        <v>-1.16</v>
      </c>
      <c r="F543" s="5" t="s">
        <v>277</v>
      </c>
      <c r="G543" s="5" t="s">
        <v>178</v>
      </c>
      <c r="H543" s="5" t="s">
        <v>189</v>
      </c>
      <c r="I543" s="5" t="s">
        <v>194</v>
      </c>
      <c r="J543" s="5" t="s">
        <v>199</v>
      </c>
      <c r="K543" s="16" t="n">
        <v>-35000</v>
      </c>
      <c r="L543" s="5" t="s">
        <v>260</v>
      </c>
      <c r="M543" s="17" t="n">
        <v>30080.6160510167</v>
      </c>
      <c r="N543" s="3" t="str">
        <f aca="false">IF(OR(K543="",M543=""),"",IF(C543="STATS_ONLY","stats",IF(ROUND(K543/M543,2)=E543,"OK","CHECK")))</f>
        <v>OK</v>
      </c>
      <c r="O543" s="3" t="str">
        <f aca="false">TEXT(D543,"yyyy-mm")</f>
        <v>2026-04</v>
      </c>
      <c r="P543" s="13"/>
    </row>
    <row r="544" customFormat="false" ht="15" hidden="false" customHeight="false" outlineLevel="0" collapsed="false">
      <c r="A544" s="5" t="s">
        <v>28</v>
      </c>
      <c r="B544" s="5" t="n">
        <v>9563</v>
      </c>
      <c r="C544" s="5" t="s">
        <v>259</v>
      </c>
      <c r="D544" s="14" t="n">
        <v>46118</v>
      </c>
      <c r="E544" s="15" t="n">
        <v>-0.83</v>
      </c>
      <c r="F544" s="5" t="s">
        <v>279</v>
      </c>
      <c r="G544" s="5" t="s">
        <v>178</v>
      </c>
      <c r="H544" s="5" t="s">
        <v>189</v>
      </c>
      <c r="I544" s="5" t="s">
        <v>194</v>
      </c>
      <c r="J544" s="5" t="s">
        <v>181</v>
      </c>
      <c r="K544" s="16" t="n">
        <v>-25000</v>
      </c>
      <c r="L544" s="5" t="s">
        <v>260</v>
      </c>
      <c r="M544" s="17" t="n">
        <v>30080.6160510167</v>
      </c>
      <c r="N544" s="3" t="str">
        <f aca="false">IF(OR(K544="",M544=""),"",IF(C544="STATS_ONLY","stats",IF(ROUND(K544/M544,2)=E544,"OK","CHECK")))</f>
        <v>OK</v>
      </c>
      <c r="O544" s="3" t="str">
        <f aca="false">TEXT(D544,"yyyy-mm")</f>
        <v>2026-04</v>
      </c>
      <c r="P544" s="13"/>
    </row>
    <row r="545" customFormat="false" ht="15" hidden="false" customHeight="false" outlineLevel="0" collapsed="false">
      <c r="A545" s="5" t="s">
        <v>28</v>
      </c>
      <c r="B545" s="5" t="n">
        <v>9564</v>
      </c>
      <c r="C545" s="5" t="s">
        <v>259</v>
      </c>
      <c r="D545" s="14" t="n">
        <v>46118</v>
      </c>
      <c r="E545" s="15" t="n">
        <v>-4.49</v>
      </c>
      <c r="F545" s="5" t="s">
        <v>256</v>
      </c>
      <c r="G545" s="5" t="s">
        <v>178</v>
      </c>
      <c r="H545" s="5" t="s">
        <v>189</v>
      </c>
      <c r="I545" s="5" t="s">
        <v>194</v>
      </c>
      <c r="J545" s="5" t="s">
        <v>206</v>
      </c>
      <c r="K545" s="16" t="n">
        <v>-135000</v>
      </c>
      <c r="L545" s="5" t="s">
        <v>260</v>
      </c>
      <c r="M545" s="17" t="n">
        <v>30080.6160510167</v>
      </c>
      <c r="N545" s="3" t="str">
        <f aca="false">IF(OR(K545="",M545=""),"",IF(C545="STATS_ONLY","stats",IF(ROUND(K545/M545,2)=E545,"OK","CHECK")))</f>
        <v>OK</v>
      </c>
      <c r="O545" s="3" t="str">
        <f aca="false">TEXT(D545,"yyyy-mm")</f>
        <v>2026-04</v>
      </c>
      <c r="P545" s="13"/>
    </row>
    <row r="546" customFormat="false" ht="15" hidden="false" customHeight="false" outlineLevel="0" collapsed="false">
      <c r="A546" s="5" t="s">
        <v>28</v>
      </c>
      <c r="B546" s="5" t="n">
        <v>9565</v>
      </c>
      <c r="C546" s="5" t="s">
        <v>259</v>
      </c>
      <c r="D546" s="14" t="n">
        <v>46119</v>
      </c>
      <c r="E546" s="15" t="n">
        <v>-3.16</v>
      </c>
      <c r="F546" s="5" t="s">
        <v>282</v>
      </c>
      <c r="G546" s="5" t="s">
        <v>178</v>
      </c>
      <c r="H546" s="5" t="s">
        <v>189</v>
      </c>
      <c r="I546" s="5" t="s">
        <v>194</v>
      </c>
      <c r="J546" s="5" t="s">
        <v>197</v>
      </c>
      <c r="K546" s="16" t="n">
        <v>-95000</v>
      </c>
      <c r="L546" s="5" t="s">
        <v>260</v>
      </c>
      <c r="M546" s="17" t="n">
        <v>30080.6160510167</v>
      </c>
      <c r="N546" s="3" t="str">
        <f aca="false">IF(OR(K546="",M546=""),"",IF(C546="STATS_ONLY","stats",IF(ROUND(K546/M546,2)=E546,"OK","CHECK")))</f>
        <v>OK</v>
      </c>
      <c r="O546" s="3" t="str">
        <f aca="false">TEXT(D546,"yyyy-mm")</f>
        <v>2026-04</v>
      </c>
      <c r="P546" s="13"/>
    </row>
    <row r="547" customFormat="false" ht="15" hidden="false" customHeight="false" outlineLevel="0" collapsed="false">
      <c r="A547" s="5" t="s">
        <v>28</v>
      </c>
      <c r="B547" s="5" t="n">
        <v>9566</v>
      </c>
      <c r="C547" s="5" t="s">
        <v>259</v>
      </c>
      <c r="D547" s="14" t="n">
        <v>46119</v>
      </c>
      <c r="E547" s="15" t="n">
        <v>-1.83</v>
      </c>
      <c r="F547" s="5" t="s">
        <v>228</v>
      </c>
      <c r="G547" s="5" t="s">
        <v>178</v>
      </c>
      <c r="H547" s="5" t="s">
        <v>189</v>
      </c>
      <c r="I547" s="5" t="s">
        <v>194</v>
      </c>
      <c r="J547" s="5" t="s">
        <v>229</v>
      </c>
      <c r="K547" s="16" t="n">
        <v>-55000</v>
      </c>
      <c r="L547" s="5" t="s">
        <v>260</v>
      </c>
      <c r="M547" s="17" t="n">
        <v>30080.6160510167</v>
      </c>
      <c r="N547" s="3" t="str">
        <f aca="false">IF(OR(K547="",M547=""),"",IF(C547="STATS_ONLY","stats",IF(ROUND(K547/M547,2)=E547,"OK","CHECK")))</f>
        <v>OK</v>
      </c>
      <c r="O547" s="3" t="str">
        <f aca="false">TEXT(D547,"yyyy-mm")</f>
        <v>2026-04</v>
      </c>
      <c r="P547" s="13"/>
    </row>
    <row r="548" customFormat="false" ht="15" hidden="false" customHeight="false" outlineLevel="0" collapsed="false">
      <c r="A548" s="5" t="s">
        <v>28</v>
      </c>
      <c r="B548" s="5" t="n">
        <v>9631</v>
      </c>
      <c r="C548" s="5" t="s">
        <v>213</v>
      </c>
      <c r="D548" s="14" t="n">
        <v>46119</v>
      </c>
      <c r="E548" s="15" t="n">
        <v>-21.78</v>
      </c>
      <c r="F548" s="5" t="s">
        <v>214</v>
      </c>
      <c r="G548" s="5" t="s">
        <v>163</v>
      </c>
      <c r="H548" s="5" t="s">
        <v>164</v>
      </c>
      <c r="I548" s="5" t="s">
        <v>215</v>
      </c>
      <c r="J548" s="5"/>
      <c r="K548" s="16"/>
      <c r="L548" s="5"/>
      <c r="M548" s="17"/>
      <c r="N548" s="3" t="str">
        <f aca="false">IF(OR(K548="",M548=""),"",IF(C548="STATS_ONLY","stats",IF(ROUND(K548/M548,2)=E548,"OK","CHECK")))</f>
        <v/>
      </c>
      <c r="O548" s="3" t="str">
        <f aca="false">TEXT(D548,"yyyy-mm")</f>
        <v>2026-04</v>
      </c>
      <c r="P548" s="13"/>
    </row>
    <row r="549" customFormat="false" ht="15" hidden="false" customHeight="false" outlineLevel="0" collapsed="false">
      <c r="A549" s="5" t="s">
        <v>28</v>
      </c>
      <c r="B549" s="5" t="n">
        <v>9567</v>
      </c>
      <c r="C549" s="5" t="s">
        <v>259</v>
      </c>
      <c r="D549" s="14" t="n">
        <v>46120</v>
      </c>
      <c r="E549" s="15" t="n">
        <v>-3.82</v>
      </c>
      <c r="F549" s="5" t="s">
        <v>272</v>
      </c>
      <c r="G549" s="5" t="s">
        <v>178</v>
      </c>
      <c r="H549" s="5" t="s">
        <v>189</v>
      </c>
      <c r="I549" s="5" t="s">
        <v>194</v>
      </c>
      <c r="J549" s="5" t="s">
        <v>197</v>
      </c>
      <c r="K549" s="16" t="n">
        <v>-115000</v>
      </c>
      <c r="L549" s="5" t="s">
        <v>260</v>
      </c>
      <c r="M549" s="17" t="n">
        <v>30080.6160510167</v>
      </c>
      <c r="N549" s="3" t="str">
        <f aca="false">IF(OR(K549="",M549=""),"",IF(C549="STATS_ONLY","stats",IF(ROUND(K549/M549,2)=E549,"OK","CHECK")))</f>
        <v>OK</v>
      </c>
      <c r="O549" s="3" t="str">
        <f aca="false">TEXT(D549,"yyyy-mm")</f>
        <v>2026-04</v>
      </c>
      <c r="P549" s="13"/>
    </row>
    <row r="550" customFormat="false" ht="15" hidden="false" customHeight="false" outlineLevel="0" collapsed="false">
      <c r="A550" s="5" t="s">
        <v>28</v>
      </c>
      <c r="B550" s="5" t="n">
        <v>9568</v>
      </c>
      <c r="C550" s="5" t="s">
        <v>259</v>
      </c>
      <c r="D550" s="14" t="n">
        <v>46120</v>
      </c>
      <c r="E550" s="15" t="n">
        <v>-0.83</v>
      </c>
      <c r="F550" s="5" t="s">
        <v>271</v>
      </c>
      <c r="G550" s="5" t="s">
        <v>178</v>
      </c>
      <c r="H550" s="5" t="s">
        <v>189</v>
      </c>
      <c r="I550" s="5" t="s">
        <v>194</v>
      </c>
      <c r="J550" s="5" t="s">
        <v>181</v>
      </c>
      <c r="K550" s="16" t="n">
        <v>-25000</v>
      </c>
      <c r="L550" s="5" t="s">
        <v>260</v>
      </c>
      <c r="M550" s="17" t="n">
        <v>30080.6160510167</v>
      </c>
      <c r="N550" s="3" t="str">
        <f aca="false">IF(OR(K550="",M550=""),"",IF(C550="STATS_ONLY","stats",IF(ROUND(K550/M550,2)=E550,"OK","CHECK")))</f>
        <v>OK</v>
      </c>
      <c r="O550" s="3" t="str">
        <f aca="false">TEXT(D550,"yyyy-mm")</f>
        <v>2026-04</v>
      </c>
      <c r="P550" s="13"/>
    </row>
    <row r="551" customFormat="false" ht="15" hidden="false" customHeight="false" outlineLevel="0" collapsed="false">
      <c r="A551" s="5" t="s">
        <v>28</v>
      </c>
      <c r="B551" s="5" t="n">
        <v>9569</v>
      </c>
      <c r="C551" s="5" t="s">
        <v>259</v>
      </c>
      <c r="D551" s="14" t="n">
        <v>46120</v>
      </c>
      <c r="E551" s="15" t="n">
        <v>-1.5</v>
      </c>
      <c r="F551" s="5" t="s">
        <v>230</v>
      </c>
      <c r="G551" s="5" t="s">
        <v>178</v>
      </c>
      <c r="H551" s="5" t="s">
        <v>189</v>
      </c>
      <c r="I551" s="5" t="s">
        <v>194</v>
      </c>
      <c r="J551" s="5" t="s">
        <v>231</v>
      </c>
      <c r="K551" s="16" t="n">
        <v>-45000</v>
      </c>
      <c r="L551" s="5" t="s">
        <v>260</v>
      </c>
      <c r="M551" s="17" t="n">
        <v>30080.6160510167</v>
      </c>
      <c r="N551" s="3" t="str">
        <f aca="false">IF(OR(K551="",M551=""),"",IF(C551="STATS_ONLY","stats",IF(ROUND(K551/M551,2)=E551,"OK","CHECK")))</f>
        <v>OK</v>
      </c>
      <c r="O551" s="3" t="str">
        <f aca="false">TEXT(D551,"yyyy-mm")</f>
        <v>2026-04</v>
      </c>
      <c r="P551" s="13"/>
    </row>
    <row r="552" customFormat="false" ht="15" hidden="false" customHeight="false" outlineLevel="0" collapsed="false">
      <c r="A552" s="5" t="s">
        <v>28</v>
      </c>
      <c r="B552" s="5" t="n">
        <v>9632</v>
      </c>
      <c r="C552" s="5" t="s">
        <v>152</v>
      </c>
      <c r="D552" s="14" t="n">
        <v>46120</v>
      </c>
      <c r="E552" s="15" t="n">
        <v>-2.99</v>
      </c>
      <c r="F552" s="5" t="s">
        <v>219</v>
      </c>
      <c r="G552" s="5" t="s">
        <v>163</v>
      </c>
      <c r="H552" s="5" t="s">
        <v>164</v>
      </c>
      <c r="I552" s="5" t="s">
        <v>220</v>
      </c>
      <c r="J552" s="5"/>
      <c r="K552" s="16"/>
      <c r="L552" s="5"/>
      <c r="M552" s="17"/>
      <c r="N552" s="3" t="str">
        <f aca="false">IF(OR(K552="",M552=""),"",IF(C552="STATS_ONLY","stats",IF(ROUND(K552/M552,2)=E552,"OK","CHECK")))</f>
        <v/>
      </c>
      <c r="O552" s="3" t="str">
        <f aca="false">TEXT(D552,"yyyy-mm")</f>
        <v>2026-04</v>
      </c>
      <c r="P552" s="13"/>
    </row>
    <row r="553" customFormat="false" ht="15" hidden="false" customHeight="false" outlineLevel="0" collapsed="false">
      <c r="A553" s="5" t="s">
        <v>28</v>
      </c>
      <c r="B553" s="5" t="n">
        <v>9570</v>
      </c>
      <c r="C553" s="5" t="s">
        <v>259</v>
      </c>
      <c r="D553" s="14" t="n">
        <v>46121</v>
      </c>
      <c r="E553" s="15" t="n">
        <v>-3.66</v>
      </c>
      <c r="F553" s="5" t="s">
        <v>282</v>
      </c>
      <c r="G553" s="5" t="s">
        <v>178</v>
      </c>
      <c r="H553" s="5" t="s">
        <v>189</v>
      </c>
      <c r="I553" s="5" t="s">
        <v>194</v>
      </c>
      <c r="J553" s="5" t="s">
        <v>197</v>
      </c>
      <c r="K553" s="16" t="n">
        <v>-110000</v>
      </c>
      <c r="L553" s="5" t="s">
        <v>260</v>
      </c>
      <c r="M553" s="17" t="n">
        <v>30080.6160510167</v>
      </c>
      <c r="N553" s="3" t="str">
        <f aca="false">IF(OR(K553="",M553=""),"",IF(C553="STATS_ONLY","stats",IF(ROUND(K553/M553,2)=E553,"OK","CHECK")))</f>
        <v>OK</v>
      </c>
      <c r="O553" s="3" t="str">
        <f aca="false">TEXT(D553,"yyyy-mm")</f>
        <v>2026-04</v>
      </c>
      <c r="P553" s="13"/>
    </row>
    <row r="554" customFormat="false" ht="15" hidden="false" customHeight="false" outlineLevel="0" collapsed="false">
      <c r="A554" s="5" t="s">
        <v>28</v>
      </c>
      <c r="B554" s="5" t="n">
        <v>9571</v>
      </c>
      <c r="C554" s="5" t="s">
        <v>259</v>
      </c>
      <c r="D554" s="14" t="n">
        <v>46121</v>
      </c>
      <c r="E554" s="15" t="n">
        <v>-0.83</v>
      </c>
      <c r="F554" s="5" t="s">
        <v>271</v>
      </c>
      <c r="G554" s="5" t="s">
        <v>178</v>
      </c>
      <c r="H554" s="5" t="s">
        <v>189</v>
      </c>
      <c r="I554" s="5" t="s">
        <v>194</v>
      </c>
      <c r="J554" s="5" t="s">
        <v>181</v>
      </c>
      <c r="K554" s="16" t="n">
        <v>-25000</v>
      </c>
      <c r="L554" s="5" t="s">
        <v>260</v>
      </c>
      <c r="M554" s="17" t="n">
        <v>30080.6160510167</v>
      </c>
      <c r="N554" s="3" t="str">
        <f aca="false">IF(OR(K554="",M554=""),"",IF(C554="STATS_ONLY","stats",IF(ROUND(K554/M554,2)=E554,"OK","CHECK")))</f>
        <v>OK</v>
      </c>
      <c r="O554" s="3" t="str">
        <f aca="false">TEXT(D554,"yyyy-mm")</f>
        <v>2026-04</v>
      </c>
      <c r="P554" s="13"/>
    </row>
    <row r="555" customFormat="false" ht="15" hidden="false" customHeight="false" outlineLevel="0" collapsed="false">
      <c r="A555" s="5" t="s">
        <v>28</v>
      </c>
      <c r="B555" s="5" t="n">
        <v>9572</v>
      </c>
      <c r="C555" s="5" t="s">
        <v>259</v>
      </c>
      <c r="D555" s="14" t="n">
        <v>46122</v>
      </c>
      <c r="E555" s="15" t="n">
        <v>-1.83</v>
      </c>
      <c r="F555" s="5" t="s">
        <v>286</v>
      </c>
      <c r="G555" s="5" t="s">
        <v>178</v>
      </c>
      <c r="H555" s="5" t="s">
        <v>189</v>
      </c>
      <c r="I555" s="5" t="s">
        <v>194</v>
      </c>
      <c r="J555" s="5" t="s">
        <v>209</v>
      </c>
      <c r="K555" s="16" t="n">
        <v>-55000</v>
      </c>
      <c r="L555" s="5" t="s">
        <v>260</v>
      </c>
      <c r="M555" s="17" t="n">
        <v>30080.6160510167</v>
      </c>
      <c r="N555" s="3" t="str">
        <f aca="false">IF(OR(K555="",M555=""),"",IF(C555="STATS_ONLY","stats",IF(ROUND(K555/M555,2)=E555,"OK","CHECK")))</f>
        <v>OK</v>
      </c>
      <c r="O555" s="3" t="str">
        <f aca="false">TEXT(D555,"yyyy-mm")</f>
        <v>2026-04</v>
      </c>
      <c r="P555" s="13"/>
    </row>
    <row r="556" customFormat="false" ht="15" hidden="false" customHeight="false" outlineLevel="0" collapsed="false">
      <c r="A556" s="5" t="s">
        <v>28</v>
      </c>
      <c r="B556" s="5" t="n">
        <v>9573</v>
      </c>
      <c r="C556" s="5" t="s">
        <v>259</v>
      </c>
      <c r="D556" s="14" t="n">
        <v>46122</v>
      </c>
      <c r="E556" s="15" t="n">
        <v>-0.83</v>
      </c>
      <c r="F556" s="5" t="s">
        <v>233</v>
      </c>
      <c r="G556" s="5" t="s">
        <v>178</v>
      </c>
      <c r="H556" s="5" t="s">
        <v>189</v>
      </c>
      <c r="I556" s="5" t="s">
        <v>194</v>
      </c>
      <c r="J556" s="5" t="s">
        <v>181</v>
      </c>
      <c r="K556" s="16" t="n">
        <v>-25000</v>
      </c>
      <c r="L556" s="5" t="s">
        <v>260</v>
      </c>
      <c r="M556" s="17" t="n">
        <v>30080.6160510167</v>
      </c>
      <c r="N556" s="3" t="str">
        <f aca="false">IF(OR(K556="",M556=""),"",IF(C556="STATS_ONLY","stats",IF(ROUND(K556/M556,2)=E556,"OK","CHECK")))</f>
        <v>OK</v>
      </c>
      <c r="O556" s="3" t="str">
        <f aca="false">TEXT(D556,"yyyy-mm")</f>
        <v>2026-04</v>
      </c>
      <c r="P556" s="13"/>
    </row>
    <row r="557" customFormat="false" ht="15" hidden="false" customHeight="false" outlineLevel="0" collapsed="false">
      <c r="A557" s="5" t="s">
        <v>28</v>
      </c>
      <c r="B557" s="5" t="n">
        <v>9574</v>
      </c>
      <c r="C557" s="5" t="s">
        <v>259</v>
      </c>
      <c r="D557" s="14" t="n">
        <v>46122</v>
      </c>
      <c r="E557" s="15" t="n">
        <v>-2.83</v>
      </c>
      <c r="F557" s="5" t="s">
        <v>228</v>
      </c>
      <c r="G557" s="5" t="s">
        <v>178</v>
      </c>
      <c r="H557" s="5" t="s">
        <v>189</v>
      </c>
      <c r="I557" s="5" t="s">
        <v>194</v>
      </c>
      <c r="J557" s="5" t="s">
        <v>229</v>
      </c>
      <c r="K557" s="16" t="n">
        <v>-85000</v>
      </c>
      <c r="L557" s="5" t="s">
        <v>260</v>
      </c>
      <c r="M557" s="17" t="n">
        <v>30080.6160510167</v>
      </c>
      <c r="N557" s="3" t="str">
        <f aca="false">IF(OR(K557="",M557=""),"",IF(C557="STATS_ONLY","stats",IF(ROUND(K557/M557,2)=E557,"OK","CHECK")))</f>
        <v>OK</v>
      </c>
      <c r="O557" s="3" t="str">
        <f aca="false">TEXT(D557,"yyyy-mm")</f>
        <v>2026-04</v>
      </c>
      <c r="P557" s="13"/>
    </row>
    <row r="558" customFormat="false" ht="15" hidden="false" customHeight="false" outlineLevel="0" collapsed="false">
      <c r="A558" s="5" t="s">
        <v>28</v>
      </c>
      <c r="B558" s="5" t="n">
        <v>9575</v>
      </c>
      <c r="C558" s="5" t="s">
        <v>259</v>
      </c>
      <c r="D558" s="14" t="n">
        <v>46123</v>
      </c>
      <c r="E558" s="15" t="n">
        <v>-1.66</v>
      </c>
      <c r="F558" s="5" t="s">
        <v>280</v>
      </c>
      <c r="G558" s="5" t="s">
        <v>178</v>
      </c>
      <c r="H558" s="5" t="s">
        <v>189</v>
      </c>
      <c r="I558" s="5" t="s">
        <v>194</v>
      </c>
      <c r="J558" s="5" t="s">
        <v>209</v>
      </c>
      <c r="K558" s="16" t="n">
        <v>-50000</v>
      </c>
      <c r="L558" s="5" t="s">
        <v>260</v>
      </c>
      <c r="M558" s="17" t="n">
        <v>30080.6160510167</v>
      </c>
      <c r="N558" s="3" t="str">
        <f aca="false">IF(OR(K558="",M558=""),"",IF(C558="STATS_ONLY","stats",IF(ROUND(K558/M558,2)=E558,"OK","CHECK")))</f>
        <v>OK</v>
      </c>
      <c r="O558" s="3" t="str">
        <f aca="false">TEXT(D558,"yyyy-mm")</f>
        <v>2026-04</v>
      </c>
      <c r="P558" s="13"/>
    </row>
    <row r="559" customFormat="false" ht="15" hidden="false" customHeight="false" outlineLevel="0" collapsed="false">
      <c r="A559" s="5" t="s">
        <v>28</v>
      </c>
      <c r="B559" s="5" t="n">
        <v>9576</v>
      </c>
      <c r="C559" s="5" t="s">
        <v>259</v>
      </c>
      <c r="D559" s="14" t="n">
        <v>46123</v>
      </c>
      <c r="E559" s="15" t="n">
        <v>-3.32</v>
      </c>
      <c r="F559" s="5" t="s">
        <v>281</v>
      </c>
      <c r="G559" s="5" t="s">
        <v>178</v>
      </c>
      <c r="H559" s="5" t="s">
        <v>189</v>
      </c>
      <c r="I559" s="5" t="s">
        <v>194</v>
      </c>
      <c r="J559" s="5" t="s">
        <v>197</v>
      </c>
      <c r="K559" s="16" t="n">
        <v>-100000</v>
      </c>
      <c r="L559" s="5" t="s">
        <v>260</v>
      </c>
      <c r="M559" s="17" t="n">
        <v>30080.6160510167</v>
      </c>
      <c r="N559" s="3" t="str">
        <f aca="false">IF(OR(K559="",M559=""),"",IF(C559="STATS_ONLY","stats",IF(ROUND(K559/M559,2)=E559,"OK","CHECK")))</f>
        <v>OK</v>
      </c>
      <c r="O559" s="3" t="str">
        <f aca="false">TEXT(D559,"yyyy-mm")</f>
        <v>2026-04</v>
      </c>
      <c r="P559" s="13"/>
    </row>
    <row r="560" customFormat="false" ht="15" hidden="false" customHeight="false" outlineLevel="0" collapsed="false">
      <c r="A560" s="5" t="s">
        <v>28</v>
      </c>
      <c r="B560" s="5" t="n">
        <v>9577</v>
      </c>
      <c r="C560" s="5" t="s">
        <v>259</v>
      </c>
      <c r="D560" s="14" t="n">
        <v>46123</v>
      </c>
      <c r="E560" s="15" t="n">
        <v>-1</v>
      </c>
      <c r="F560" s="5" t="s">
        <v>270</v>
      </c>
      <c r="G560" s="5" t="s">
        <v>178</v>
      </c>
      <c r="H560" s="5" t="s">
        <v>189</v>
      </c>
      <c r="I560" s="5" t="s">
        <v>194</v>
      </c>
      <c r="J560" s="5" t="s">
        <v>199</v>
      </c>
      <c r="K560" s="16" t="n">
        <v>-30000</v>
      </c>
      <c r="L560" s="5" t="s">
        <v>260</v>
      </c>
      <c r="M560" s="17" t="n">
        <v>30080.6160510167</v>
      </c>
      <c r="N560" s="3" t="str">
        <f aca="false">IF(OR(K560="",M560=""),"",IF(C560="STATS_ONLY","stats",IF(ROUND(K560/M560,2)=E560,"OK","CHECK")))</f>
        <v>OK</v>
      </c>
      <c r="O560" s="3" t="str">
        <f aca="false">TEXT(D560,"yyyy-mm")</f>
        <v>2026-04</v>
      </c>
      <c r="P560" s="13"/>
    </row>
    <row r="561" customFormat="false" ht="15" hidden="false" customHeight="false" outlineLevel="0" collapsed="false">
      <c r="A561" s="5" t="s">
        <v>28</v>
      </c>
      <c r="B561" s="5" t="n">
        <v>9578</v>
      </c>
      <c r="C561" s="5" t="s">
        <v>259</v>
      </c>
      <c r="D561" s="14" t="n">
        <v>46124</v>
      </c>
      <c r="E561" s="15" t="n">
        <v>-3.16</v>
      </c>
      <c r="F561" s="5" t="s">
        <v>217</v>
      </c>
      <c r="G561" s="5" t="s">
        <v>178</v>
      </c>
      <c r="H561" s="5" t="s">
        <v>189</v>
      </c>
      <c r="I561" s="5" t="s">
        <v>194</v>
      </c>
      <c r="J561" s="5" t="s">
        <v>197</v>
      </c>
      <c r="K561" s="16" t="n">
        <v>-95000</v>
      </c>
      <c r="L561" s="5" t="s">
        <v>260</v>
      </c>
      <c r="M561" s="17" t="n">
        <v>30080.6160510167</v>
      </c>
      <c r="N561" s="3" t="str">
        <f aca="false">IF(OR(K561="",M561=""),"",IF(C561="STATS_ONLY","stats",IF(ROUND(K561/M561,2)=E561,"OK","CHECK")))</f>
        <v>OK</v>
      </c>
      <c r="O561" s="3" t="str">
        <f aca="false">TEXT(D561,"yyyy-mm")</f>
        <v>2026-04</v>
      </c>
      <c r="P561" s="13"/>
    </row>
    <row r="562" customFormat="false" ht="15" hidden="false" customHeight="false" outlineLevel="0" collapsed="false">
      <c r="A562" s="5" t="s">
        <v>28</v>
      </c>
      <c r="B562" s="5" t="n">
        <v>9579</v>
      </c>
      <c r="C562" s="5" t="s">
        <v>259</v>
      </c>
      <c r="D562" s="14" t="n">
        <v>46124</v>
      </c>
      <c r="E562" s="15" t="n">
        <v>-1.33</v>
      </c>
      <c r="F562" s="5" t="s">
        <v>251</v>
      </c>
      <c r="G562" s="5" t="s">
        <v>178</v>
      </c>
      <c r="H562" s="5" t="s">
        <v>189</v>
      </c>
      <c r="I562" s="5" t="s">
        <v>194</v>
      </c>
      <c r="J562" s="5" t="s">
        <v>252</v>
      </c>
      <c r="K562" s="16" t="n">
        <v>-40000</v>
      </c>
      <c r="L562" s="5" t="s">
        <v>260</v>
      </c>
      <c r="M562" s="17" t="n">
        <v>30080.6160510167</v>
      </c>
      <c r="N562" s="3" t="str">
        <f aca="false">IF(OR(K562="",M562=""),"",IF(C562="STATS_ONLY","stats",IF(ROUND(K562/M562,2)=E562,"OK","CHECK")))</f>
        <v>OK</v>
      </c>
      <c r="O562" s="3" t="str">
        <f aca="false">TEXT(D562,"yyyy-mm")</f>
        <v>2026-04</v>
      </c>
      <c r="P562" s="13"/>
    </row>
    <row r="563" customFormat="false" ht="15" hidden="false" customHeight="false" outlineLevel="0" collapsed="false">
      <c r="A563" s="5" t="s">
        <v>28</v>
      </c>
      <c r="B563" s="5" t="n">
        <v>9580</v>
      </c>
      <c r="C563" s="5" t="s">
        <v>259</v>
      </c>
      <c r="D563" s="14" t="n">
        <v>46125</v>
      </c>
      <c r="E563" s="15" t="n">
        <v>-1.83</v>
      </c>
      <c r="F563" s="5" t="s">
        <v>217</v>
      </c>
      <c r="G563" s="5" t="s">
        <v>178</v>
      </c>
      <c r="H563" s="5" t="s">
        <v>189</v>
      </c>
      <c r="I563" s="5" t="s">
        <v>194</v>
      </c>
      <c r="J563" s="5" t="s">
        <v>197</v>
      </c>
      <c r="K563" s="16" t="n">
        <v>-55000</v>
      </c>
      <c r="L563" s="5" t="s">
        <v>260</v>
      </c>
      <c r="M563" s="17" t="n">
        <v>30080.6160510167</v>
      </c>
      <c r="N563" s="3" t="str">
        <f aca="false">IF(OR(K563="",M563=""),"",IF(C563="STATS_ONLY","stats",IF(ROUND(K563/M563,2)=E563,"OK","CHECK")))</f>
        <v>OK</v>
      </c>
      <c r="O563" s="3" t="str">
        <f aca="false">TEXT(D563,"yyyy-mm")</f>
        <v>2026-04</v>
      </c>
      <c r="P563" s="13"/>
    </row>
    <row r="564" customFormat="false" ht="15" hidden="false" customHeight="false" outlineLevel="0" collapsed="false">
      <c r="A564" s="5" t="s">
        <v>28</v>
      </c>
      <c r="B564" s="5" t="n">
        <v>9581</v>
      </c>
      <c r="C564" s="5" t="s">
        <v>259</v>
      </c>
      <c r="D564" s="14" t="n">
        <v>46125</v>
      </c>
      <c r="E564" s="15" t="n">
        <v>-1.16</v>
      </c>
      <c r="F564" s="5" t="s">
        <v>218</v>
      </c>
      <c r="G564" s="5" t="s">
        <v>178</v>
      </c>
      <c r="H564" s="5" t="s">
        <v>189</v>
      </c>
      <c r="I564" s="5" t="s">
        <v>194</v>
      </c>
      <c r="J564" s="5" t="s">
        <v>199</v>
      </c>
      <c r="K564" s="16" t="n">
        <v>-35000</v>
      </c>
      <c r="L564" s="5" t="s">
        <v>260</v>
      </c>
      <c r="M564" s="17" t="n">
        <v>30080.6160510167</v>
      </c>
      <c r="N564" s="3" t="str">
        <f aca="false">IF(OR(K564="",M564=""),"",IF(C564="STATS_ONLY","stats",IF(ROUND(K564/M564,2)=E564,"OK","CHECK")))</f>
        <v>OK</v>
      </c>
      <c r="O564" s="3" t="str">
        <f aca="false">TEXT(D564,"yyyy-mm")</f>
        <v>2026-04</v>
      </c>
      <c r="P564" s="13"/>
    </row>
    <row r="565" customFormat="false" ht="15" hidden="false" customHeight="false" outlineLevel="0" collapsed="false">
      <c r="A565" s="5" t="s">
        <v>28</v>
      </c>
      <c r="B565" s="5" t="n">
        <v>9582</v>
      </c>
      <c r="C565" s="5" t="s">
        <v>259</v>
      </c>
      <c r="D565" s="14" t="n">
        <v>46126</v>
      </c>
      <c r="E565" s="15" t="n">
        <v>-2.49</v>
      </c>
      <c r="F565" s="5" t="s">
        <v>280</v>
      </c>
      <c r="G565" s="5" t="s">
        <v>178</v>
      </c>
      <c r="H565" s="5" t="s">
        <v>189</v>
      </c>
      <c r="I565" s="5" t="s">
        <v>194</v>
      </c>
      <c r="J565" s="5" t="s">
        <v>209</v>
      </c>
      <c r="K565" s="16" t="n">
        <v>-75000</v>
      </c>
      <c r="L565" s="5" t="s">
        <v>260</v>
      </c>
      <c r="M565" s="17" t="n">
        <v>30080.6160510167</v>
      </c>
      <c r="N565" s="3" t="str">
        <f aca="false">IF(OR(K565="",M565=""),"",IF(C565="STATS_ONLY","stats",IF(ROUND(K565/M565,2)=E565,"OK","CHECK")))</f>
        <v>OK</v>
      </c>
      <c r="O565" s="3" t="str">
        <f aca="false">TEXT(D565,"yyyy-mm")</f>
        <v>2026-04</v>
      </c>
      <c r="P565" s="13"/>
    </row>
    <row r="566" customFormat="false" ht="15" hidden="false" customHeight="false" outlineLevel="0" collapsed="false">
      <c r="A566" s="5" t="s">
        <v>28</v>
      </c>
      <c r="B566" s="5" t="n">
        <v>9583</v>
      </c>
      <c r="C566" s="5" t="s">
        <v>259</v>
      </c>
      <c r="D566" s="14" t="n">
        <v>46126</v>
      </c>
      <c r="E566" s="15" t="n">
        <v>-1</v>
      </c>
      <c r="F566" s="5" t="s">
        <v>218</v>
      </c>
      <c r="G566" s="5" t="s">
        <v>178</v>
      </c>
      <c r="H566" s="5" t="s">
        <v>189</v>
      </c>
      <c r="I566" s="5" t="s">
        <v>194</v>
      </c>
      <c r="J566" s="5" t="s">
        <v>199</v>
      </c>
      <c r="K566" s="16" t="n">
        <v>-30000</v>
      </c>
      <c r="L566" s="5" t="s">
        <v>260</v>
      </c>
      <c r="M566" s="17" t="n">
        <v>30080.6160510167</v>
      </c>
      <c r="N566" s="3" t="str">
        <f aca="false">IF(OR(K566="",M566=""),"",IF(C566="STATS_ONLY","stats",IF(ROUND(K566/M566,2)=E566,"OK","CHECK")))</f>
        <v>OK</v>
      </c>
      <c r="O566" s="3" t="str">
        <f aca="false">TEXT(D566,"yyyy-mm")</f>
        <v>2026-04</v>
      </c>
      <c r="P566" s="13"/>
    </row>
    <row r="567" customFormat="false" ht="15" hidden="false" customHeight="false" outlineLevel="0" collapsed="false">
      <c r="A567" s="5" t="s">
        <v>28</v>
      </c>
      <c r="B567" s="5" t="n">
        <v>9584</v>
      </c>
      <c r="C567" s="5" t="s">
        <v>259</v>
      </c>
      <c r="D567" s="14" t="n">
        <v>46126</v>
      </c>
      <c r="E567" s="15" t="n">
        <v>-1.33</v>
      </c>
      <c r="F567" s="5" t="s">
        <v>242</v>
      </c>
      <c r="G567" s="5" t="s">
        <v>178</v>
      </c>
      <c r="H567" s="5" t="s">
        <v>189</v>
      </c>
      <c r="I567" s="5" t="s">
        <v>194</v>
      </c>
      <c r="J567" s="5" t="s">
        <v>242</v>
      </c>
      <c r="K567" s="16" t="n">
        <v>-40000</v>
      </c>
      <c r="L567" s="5" t="s">
        <v>260</v>
      </c>
      <c r="M567" s="17" t="n">
        <v>30080.6160510167</v>
      </c>
      <c r="N567" s="3" t="str">
        <f aca="false">IF(OR(K567="",M567=""),"",IF(C567="STATS_ONLY","stats",IF(ROUND(K567/M567,2)=E567,"OK","CHECK")))</f>
        <v>OK</v>
      </c>
      <c r="O567" s="3" t="str">
        <f aca="false">TEXT(D567,"yyyy-mm")</f>
        <v>2026-04</v>
      </c>
      <c r="P567" s="13"/>
    </row>
    <row r="568" customFormat="false" ht="15" hidden="false" customHeight="false" outlineLevel="0" collapsed="false">
      <c r="A568" s="5" t="s">
        <v>28</v>
      </c>
      <c r="B568" s="5" t="n">
        <v>9585</v>
      </c>
      <c r="C568" s="5" t="s">
        <v>259</v>
      </c>
      <c r="D568" s="14" t="n">
        <v>46126</v>
      </c>
      <c r="E568" s="15" t="n">
        <v>-7.48</v>
      </c>
      <c r="F568" s="5" t="s">
        <v>285</v>
      </c>
      <c r="G568" s="5" t="s">
        <v>178</v>
      </c>
      <c r="H568" s="5" t="s">
        <v>189</v>
      </c>
      <c r="I568" s="5" t="s">
        <v>194</v>
      </c>
      <c r="J568" s="5" t="s">
        <v>206</v>
      </c>
      <c r="K568" s="16" t="n">
        <v>-225000</v>
      </c>
      <c r="L568" s="5" t="s">
        <v>260</v>
      </c>
      <c r="M568" s="17" t="n">
        <v>30080.6160510167</v>
      </c>
      <c r="N568" s="3" t="str">
        <f aca="false">IF(OR(K568="",M568=""),"",IF(C568="STATS_ONLY","stats",IF(ROUND(K568/M568,2)=E568,"OK","CHECK")))</f>
        <v>OK</v>
      </c>
      <c r="O568" s="3" t="str">
        <f aca="false">TEXT(D568,"yyyy-mm")</f>
        <v>2026-04</v>
      </c>
      <c r="P568" s="13"/>
    </row>
    <row r="569" customFormat="false" ht="15" hidden="false" customHeight="false" outlineLevel="0" collapsed="false">
      <c r="A569" s="5" t="s">
        <v>28</v>
      </c>
      <c r="B569" s="5" t="n">
        <v>9586</v>
      </c>
      <c r="C569" s="5" t="s">
        <v>259</v>
      </c>
      <c r="D569" s="14" t="n">
        <v>46127</v>
      </c>
      <c r="E569" s="15" t="n">
        <v>-2.99</v>
      </c>
      <c r="F569" s="5" t="s">
        <v>286</v>
      </c>
      <c r="G569" s="5" t="s">
        <v>178</v>
      </c>
      <c r="H569" s="5" t="s">
        <v>189</v>
      </c>
      <c r="I569" s="5" t="s">
        <v>194</v>
      </c>
      <c r="J569" s="5" t="s">
        <v>209</v>
      </c>
      <c r="K569" s="16" t="n">
        <v>-90000</v>
      </c>
      <c r="L569" s="5" t="s">
        <v>260</v>
      </c>
      <c r="M569" s="17" t="n">
        <v>30080.6160510167</v>
      </c>
      <c r="N569" s="3" t="str">
        <f aca="false">IF(OR(K569="",M569=""),"",IF(C569="STATS_ONLY","stats",IF(ROUND(K569/M569,2)=E569,"OK","CHECK")))</f>
        <v>OK</v>
      </c>
      <c r="O569" s="3" t="str">
        <f aca="false">TEXT(D569,"yyyy-mm")</f>
        <v>2026-04</v>
      </c>
      <c r="P569" s="13"/>
    </row>
    <row r="570" customFormat="false" ht="15" hidden="false" customHeight="false" outlineLevel="0" collapsed="false">
      <c r="A570" s="5" t="s">
        <v>28</v>
      </c>
      <c r="B570" s="5" t="n">
        <v>9587</v>
      </c>
      <c r="C570" s="5" t="s">
        <v>259</v>
      </c>
      <c r="D570" s="14" t="n">
        <v>46127</v>
      </c>
      <c r="E570" s="15" t="n">
        <v>-1.16</v>
      </c>
      <c r="F570" s="5" t="s">
        <v>218</v>
      </c>
      <c r="G570" s="5" t="s">
        <v>178</v>
      </c>
      <c r="H570" s="5" t="s">
        <v>189</v>
      </c>
      <c r="I570" s="5" t="s">
        <v>194</v>
      </c>
      <c r="J570" s="5" t="s">
        <v>199</v>
      </c>
      <c r="K570" s="16" t="n">
        <v>-35000</v>
      </c>
      <c r="L570" s="5" t="s">
        <v>260</v>
      </c>
      <c r="M570" s="17" t="n">
        <v>30080.6160510167</v>
      </c>
      <c r="N570" s="3" t="str">
        <f aca="false">IF(OR(K570="",M570=""),"",IF(C570="STATS_ONLY","stats",IF(ROUND(K570/M570,2)=E570,"OK","CHECK")))</f>
        <v>OK</v>
      </c>
      <c r="O570" s="3" t="str">
        <f aca="false">TEXT(D570,"yyyy-mm")</f>
        <v>2026-04</v>
      </c>
      <c r="P570" s="13"/>
    </row>
    <row r="571" customFormat="false" ht="15" hidden="false" customHeight="false" outlineLevel="0" collapsed="false">
      <c r="A571" s="5" t="s">
        <v>28</v>
      </c>
      <c r="B571" s="5" t="n">
        <v>9588</v>
      </c>
      <c r="C571" s="5" t="s">
        <v>259</v>
      </c>
      <c r="D571" s="14" t="n">
        <v>46127</v>
      </c>
      <c r="E571" s="15" t="n">
        <v>-1</v>
      </c>
      <c r="F571" s="5" t="s">
        <v>279</v>
      </c>
      <c r="G571" s="5" t="s">
        <v>178</v>
      </c>
      <c r="H571" s="5" t="s">
        <v>189</v>
      </c>
      <c r="I571" s="5" t="s">
        <v>194</v>
      </c>
      <c r="J571" s="5" t="s">
        <v>181</v>
      </c>
      <c r="K571" s="16" t="n">
        <v>-30000</v>
      </c>
      <c r="L571" s="5" t="s">
        <v>260</v>
      </c>
      <c r="M571" s="17" t="n">
        <v>30080.6160510167</v>
      </c>
      <c r="N571" s="3" t="str">
        <f aca="false">IF(OR(K571="",M571=""),"",IF(C571="STATS_ONLY","stats",IF(ROUND(K571/M571,2)=E571,"OK","CHECK")))</f>
        <v>OK</v>
      </c>
      <c r="O571" s="3" t="str">
        <f aca="false">TEXT(D571,"yyyy-mm")</f>
        <v>2026-04</v>
      </c>
      <c r="P571" s="13"/>
    </row>
    <row r="572" customFormat="false" ht="15" hidden="false" customHeight="false" outlineLevel="0" collapsed="false">
      <c r="A572" s="5" t="s">
        <v>28</v>
      </c>
      <c r="B572" s="5" t="n">
        <v>9634</v>
      </c>
      <c r="C572" s="5" t="s">
        <v>152</v>
      </c>
      <c r="D572" s="14" t="n">
        <v>46132</v>
      </c>
      <c r="E572" s="15" t="n">
        <v>-152</v>
      </c>
      <c r="F572" s="5" t="s">
        <v>243</v>
      </c>
      <c r="G572" s="5" t="s">
        <v>163</v>
      </c>
      <c r="H572" s="5" t="s">
        <v>164</v>
      </c>
      <c r="I572" s="5" t="s">
        <v>244</v>
      </c>
      <c r="J572" s="5"/>
      <c r="K572" s="16"/>
      <c r="L572" s="5"/>
      <c r="M572" s="17"/>
      <c r="N572" s="3" t="str">
        <f aca="false">IF(OR(K572="",M572=""),"",IF(C572="STATS_ONLY","stats",IF(ROUND(K572/M572,2)=E572,"OK","CHECK")))</f>
        <v/>
      </c>
      <c r="O572" s="3" t="str">
        <f aca="false">TEXT(D572,"yyyy-mm")</f>
        <v>2026-04</v>
      </c>
      <c r="P572" s="13"/>
    </row>
    <row r="573" customFormat="false" ht="15" hidden="false" customHeight="false" outlineLevel="0" collapsed="false">
      <c r="A573" s="5" t="s">
        <v>28</v>
      </c>
      <c r="B573" s="5" t="n">
        <v>9635</v>
      </c>
      <c r="C573" s="5" t="s">
        <v>152</v>
      </c>
      <c r="D573" s="14" t="n">
        <v>46132</v>
      </c>
      <c r="E573" s="15" t="n">
        <v>131</v>
      </c>
      <c r="F573" s="5" t="s">
        <v>245</v>
      </c>
      <c r="G573" s="5" t="s">
        <v>163</v>
      </c>
      <c r="H573" s="5" t="s">
        <v>164</v>
      </c>
      <c r="I573" s="5" t="s">
        <v>244</v>
      </c>
      <c r="J573" s="5"/>
      <c r="K573" s="16"/>
      <c r="L573" s="5"/>
      <c r="M573" s="17"/>
      <c r="N573" s="3" t="str">
        <f aca="false">IF(OR(K573="",M573=""),"",IF(C573="STATS_ONLY","stats",IF(ROUND(K573/M573,2)=E573,"OK","CHECK")))</f>
        <v/>
      </c>
      <c r="O573" s="3" t="str">
        <f aca="false">TEXT(D573,"yyyy-mm")</f>
        <v>2026-04</v>
      </c>
      <c r="P573" s="13"/>
    </row>
    <row r="574" customFormat="false" ht="15" hidden="false" customHeight="false" outlineLevel="0" collapsed="false">
      <c r="A574" s="5" t="s">
        <v>28</v>
      </c>
      <c r="B574" s="5" t="n">
        <v>9658</v>
      </c>
      <c r="C574" s="5" t="s">
        <v>152</v>
      </c>
      <c r="D574" s="14" t="n">
        <v>46132</v>
      </c>
      <c r="E574" s="15" t="n">
        <v>-24.6</v>
      </c>
      <c r="F574" s="5" t="s">
        <v>299</v>
      </c>
      <c r="G574" s="5" t="s">
        <v>184</v>
      </c>
      <c r="H574" s="5" t="s">
        <v>185</v>
      </c>
      <c r="I574" s="5" t="s">
        <v>186</v>
      </c>
      <c r="J574" s="5"/>
      <c r="K574" s="16"/>
      <c r="L574" s="5"/>
      <c r="M574" s="17"/>
      <c r="N574" s="3" t="str">
        <f aca="false">IF(OR(K574="",M574=""),"",IF(C574="STATS_ONLY","stats",IF(ROUND(K574/M574,2)=E574,"OK","CHECK")))</f>
        <v/>
      </c>
      <c r="O574" s="3" t="str">
        <f aca="false">TEXT(D574,"yyyy-mm")</f>
        <v>2026-04</v>
      </c>
      <c r="P574" s="13"/>
    </row>
    <row r="575" customFormat="false" ht="15" hidden="false" customHeight="false" outlineLevel="0" collapsed="false">
      <c r="A575" s="5" t="s">
        <v>28</v>
      </c>
      <c r="B575" s="5" t="n">
        <v>9661</v>
      </c>
      <c r="C575" s="5" t="s">
        <v>171</v>
      </c>
      <c r="D575" s="14" t="n">
        <v>46134</v>
      </c>
      <c r="E575" s="15" t="n">
        <v>-49.14</v>
      </c>
      <c r="F575" s="5" t="s">
        <v>300</v>
      </c>
      <c r="G575" s="5" t="s">
        <v>184</v>
      </c>
      <c r="H575" s="5" t="s">
        <v>301</v>
      </c>
      <c r="I575" s="5" t="s">
        <v>206</v>
      </c>
      <c r="J575" s="5"/>
      <c r="K575" s="16"/>
      <c r="L575" s="5"/>
      <c r="M575" s="17"/>
      <c r="N575" s="3" t="str">
        <f aca="false">IF(OR(K575="",M575=""),"",IF(C575="STATS_ONLY","stats",IF(ROUND(K575/M575,2)=E575,"OK","CHECK")))</f>
        <v/>
      </c>
      <c r="O575" s="3" t="str">
        <f aca="false">TEXT(D575,"yyyy-mm")</f>
        <v>2026-04</v>
      </c>
      <c r="P575" s="13"/>
    </row>
    <row r="576" customFormat="false" ht="15" hidden="false" customHeight="false" outlineLevel="0" collapsed="false">
      <c r="A576" s="5" t="s">
        <v>28</v>
      </c>
      <c r="B576" s="5" t="n">
        <v>9633</v>
      </c>
      <c r="C576" s="5" t="s">
        <v>152</v>
      </c>
      <c r="D576" s="14" t="n">
        <v>46135</v>
      </c>
      <c r="E576" s="15" t="n">
        <v>-7</v>
      </c>
      <c r="F576" s="5" t="s">
        <v>249</v>
      </c>
      <c r="G576" s="5" t="s">
        <v>163</v>
      </c>
      <c r="H576" s="5" t="s">
        <v>164</v>
      </c>
      <c r="I576" s="5" t="s">
        <v>250</v>
      </c>
      <c r="J576" s="5"/>
      <c r="K576" s="16"/>
      <c r="L576" s="5"/>
      <c r="M576" s="17"/>
      <c r="N576" s="3" t="str">
        <f aca="false">IF(OR(K576="",M576=""),"",IF(C576="STATS_ONLY","stats",IF(ROUND(K576/M576,2)=E576,"OK","CHECK")))</f>
        <v/>
      </c>
      <c r="O576" s="3" t="str">
        <f aca="false">TEXT(D576,"yyyy-mm")</f>
        <v>2026-04</v>
      </c>
      <c r="P576" s="13"/>
    </row>
    <row r="577" customFormat="false" ht="15" hidden="false" customHeight="false" outlineLevel="0" collapsed="false">
      <c r="A577" s="5" t="s">
        <v>28</v>
      </c>
      <c r="B577" s="5" t="n">
        <v>9662</v>
      </c>
      <c r="C577" s="5" t="s">
        <v>152</v>
      </c>
      <c r="D577" s="14" t="n">
        <v>46136</v>
      </c>
      <c r="E577" s="15" t="n">
        <v>-10.07</v>
      </c>
      <c r="F577" s="5" t="s">
        <v>302</v>
      </c>
      <c r="G577" s="5" t="s">
        <v>184</v>
      </c>
      <c r="H577" s="5" t="s">
        <v>303</v>
      </c>
      <c r="I577" s="5" t="s">
        <v>304</v>
      </c>
      <c r="J577" s="5"/>
      <c r="K577" s="16"/>
      <c r="L577" s="5"/>
      <c r="M577" s="17"/>
      <c r="N577" s="3" t="str">
        <f aca="false">IF(OR(K577="",M577=""),"",IF(C577="STATS_ONLY","stats",IF(ROUND(K577/M577,2)=E577,"OK","CHECK")))</f>
        <v/>
      </c>
      <c r="O577" s="3" t="str">
        <f aca="false">TEXT(D577,"yyyy-mm")</f>
        <v>2026-04</v>
      </c>
      <c r="P577" s="13"/>
    </row>
    <row r="578" customFormat="false" ht="15" hidden="false" customHeight="false" outlineLevel="0" collapsed="false">
      <c r="A578" s="5" t="s">
        <v>28</v>
      </c>
      <c r="B578" s="5" t="n">
        <v>9663</v>
      </c>
      <c r="C578" s="5" t="s">
        <v>152</v>
      </c>
      <c r="D578" s="14" t="n">
        <v>46139</v>
      </c>
      <c r="E578" s="15" t="n">
        <v>-2.93</v>
      </c>
      <c r="F578" s="5" t="s">
        <v>305</v>
      </c>
      <c r="G578" s="5" t="s">
        <v>184</v>
      </c>
      <c r="H578" s="5" t="s">
        <v>306</v>
      </c>
      <c r="I578" s="5" t="s">
        <v>218</v>
      </c>
      <c r="J578" s="5"/>
      <c r="K578" s="16"/>
      <c r="L578" s="5"/>
      <c r="M578" s="17"/>
      <c r="N578" s="3" t="str">
        <f aca="false">IF(OR(K578="",M578=""),"",IF(C578="STATS_ONLY","stats",IF(ROUND(K578/M578,2)=E578,"OK","CHECK")))</f>
        <v/>
      </c>
      <c r="O578" s="3" t="str">
        <f aca="false">TEXT(D578,"yyyy-mm")</f>
        <v>2026-04</v>
      </c>
      <c r="P578" s="13"/>
    </row>
    <row r="579" customFormat="false" ht="15" hidden="false" customHeight="false" outlineLevel="0" collapsed="false">
      <c r="A579" s="5" t="s">
        <v>28</v>
      </c>
      <c r="B579" s="5" t="n">
        <v>9664</v>
      </c>
      <c r="C579" s="5" t="s">
        <v>152</v>
      </c>
      <c r="D579" s="14" t="n">
        <v>46142</v>
      </c>
      <c r="E579" s="15" t="n">
        <v>-32.09</v>
      </c>
      <c r="F579" s="5" t="s">
        <v>307</v>
      </c>
      <c r="G579" s="5" t="s">
        <v>184</v>
      </c>
      <c r="H579" s="5" t="s">
        <v>303</v>
      </c>
      <c r="I579" s="5" t="s">
        <v>304</v>
      </c>
      <c r="J579" s="5"/>
      <c r="K579" s="16"/>
      <c r="L579" s="5"/>
      <c r="M579" s="17"/>
      <c r="N579" s="3" t="str">
        <f aca="false">IF(OR(K579="",M579=""),"",IF(C579="STATS_ONLY","stats",IF(ROUND(K579/M579,2)=E579,"OK","CHECK")))</f>
        <v/>
      </c>
      <c r="O579" s="3" t="str">
        <f aca="false">TEXT(D579,"yyyy-mm")</f>
        <v>2026-04</v>
      </c>
      <c r="P579" s="13"/>
    </row>
    <row r="580" customFormat="false" ht="15" hidden="false" customHeight="false" outlineLevel="0" collapsed="false">
      <c r="A580" s="5" t="s">
        <v>28</v>
      </c>
      <c r="B580" s="5" t="n">
        <v>9636</v>
      </c>
      <c r="C580" s="5" t="s">
        <v>152</v>
      </c>
      <c r="D580" s="14" t="n">
        <v>46143</v>
      </c>
      <c r="E580" s="15" t="n">
        <v>-15</v>
      </c>
      <c r="F580" s="5" t="s">
        <v>162</v>
      </c>
      <c r="G580" s="5" t="s">
        <v>163</v>
      </c>
      <c r="H580" s="5" t="s">
        <v>164</v>
      </c>
      <c r="I580" s="5" t="s">
        <v>165</v>
      </c>
      <c r="J580" s="5"/>
      <c r="K580" s="16"/>
      <c r="L580" s="5"/>
      <c r="M580" s="17"/>
      <c r="N580" s="3" t="str">
        <f aca="false">IF(OR(K580="",M580=""),"",IF(C580="STATS_ONLY","stats",IF(ROUND(K580/M580,2)=E580,"OK","CHECK")))</f>
        <v/>
      </c>
      <c r="O580" s="3" t="str">
        <f aca="false">TEXT(D580,"yyyy-mm")</f>
        <v>2026-05</v>
      </c>
      <c r="P580" s="13"/>
    </row>
    <row r="581" customFormat="false" ht="15" hidden="false" customHeight="false" outlineLevel="0" collapsed="false">
      <c r="A581" s="5" t="s">
        <v>28</v>
      </c>
      <c r="B581" s="5" t="n">
        <v>9637</v>
      </c>
      <c r="C581" s="5" t="s">
        <v>152</v>
      </c>
      <c r="D581" s="14" t="n">
        <v>46143</v>
      </c>
      <c r="E581" s="15" t="n">
        <v>-100</v>
      </c>
      <c r="F581" s="5" t="s">
        <v>166</v>
      </c>
      <c r="G581" s="5" t="s">
        <v>167</v>
      </c>
      <c r="H581" s="5" t="s">
        <v>167</v>
      </c>
      <c r="I581" s="5" t="s">
        <v>168</v>
      </c>
      <c r="J581" s="5"/>
      <c r="K581" s="16"/>
      <c r="L581" s="5"/>
      <c r="M581" s="17"/>
      <c r="N581" s="3" t="str">
        <f aca="false">IF(OR(K581="",M581=""),"",IF(C581="STATS_ONLY","stats",IF(ROUND(K581/M581,2)=E581,"OK","CHECK")))</f>
        <v/>
      </c>
      <c r="O581" s="3" t="str">
        <f aca="false">TEXT(D581,"yyyy-mm")</f>
        <v>2026-05</v>
      </c>
      <c r="P581" s="13" t="s">
        <v>169</v>
      </c>
    </row>
    <row r="582" customFormat="false" ht="15" hidden="false" customHeight="false" outlineLevel="0" collapsed="false">
      <c r="A582" s="5" t="s">
        <v>28</v>
      </c>
      <c r="B582" s="5" t="n">
        <v>9637</v>
      </c>
      <c r="C582" s="5" t="s">
        <v>158</v>
      </c>
      <c r="D582" s="14" t="n">
        <v>46143</v>
      </c>
      <c r="E582" s="15" t="n">
        <v>100</v>
      </c>
      <c r="F582" s="5" t="s">
        <v>166</v>
      </c>
      <c r="G582" s="5" t="s">
        <v>167</v>
      </c>
      <c r="H582" s="5" t="s">
        <v>167</v>
      </c>
      <c r="I582" s="5" t="s">
        <v>168</v>
      </c>
      <c r="J582" s="5"/>
      <c r="K582" s="16"/>
      <c r="L582" s="5"/>
      <c r="M582" s="17"/>
      <c r="N582" s="3" t="str">
        <f aca="false">IF(OR(K582="",M582=""),"",IF(C582="STATS_ONLY","stats",IF(ROUND(K582/M582,2)=E582,"OK","CHECK")))</f>
        <v/>
      </c>
      <c r="O582" s="3" t="str">
        <f aca="false">TEXT(D582,"yyyy-mm")</f>
        <v>2026-05</v>
      </c>
      <c r="P582" s="13" t="s">
        <v>170</v>
      </c>
    </row>
    <row r="583" customFormat="false" ht="15" hidden="false" customHeight="false" outlineLevel="0" collapsed="false">
      <c r="A583" s="5" t="s">
        <v>28</v>
      </c>
      <c r="B583" s="5" t="n">
        <v>9665</v>
      </c>
      <c r="C583" s="5" t="s">
        <v>152</v>
      </c>
      <c r="D583" s="14" t="n">
        <v>46144</v>
      </c>
      <c r="E583" s="15" t="n">
        <v>-2.03</v>
      </c>
      <c r="F583" s="5" t="s">
        <v>305</v>
      </c>
      <c r="G583" s="5" t="s">
        <v>184</v>
      </c>
      <c r="H583" s="5" t="s">
        <v>306</v>
      </c>
      <c r="I583" s="5" t="s">
        <v>218</v>
      </c>
      <c r="J583" s="5"/>
      <c r="K583" s="16"/>
      <c r="L583" s="5"/>
      <c r="M583" s="17"/>
      <c r="N583" s="3" t="str">
        <f aca="false">IF(OR(K583="",M583=""),"",IF(C583="STATS_ONLY","stats",IF(ROUND(K583/M583,2)=E583,"OK","CHECK")))</f>
        <v/>
      </c>
      <c r="O583" s="3" t="str">
        <f aca="false">TEXT(D583,"yyyy-mm")</f>
        <v>2026-05</v>
      </c>
      <c r="P583" s="13"/>
    </row>
    <row r="584" customFormat="false" ht="15" hidden="false" customHeight="false" outlineLevel="0" collapsed="false">
      <c r="A584" s="5" t="s">
        <v>28</v>
      </c>
      <c r="B584" s="5" t="n">
        <v>9666</v>
      </c>
      <c r="C584" s="5" t="s">
        <v>152</v>
      </c>
      <c r="D584" s="14" t="n">
        <v>46145</v>
      </c>
      <c r="E584" s="15" t="n">
        <v>-2.04</v>
      </c>
      <c r="F584" s="5" t="s">
        <v>308</v>
      </c>
      <c r="G584" s="5" t="s">
        <v>184</v>
      </c>
      <c r="H584" s="5" t="s">
        <v>306</v>
      </c>
      <c r="I584" s="5" t="s">
        <v>218</v>
      </c>
      <c r="J584" s="5"/>
      <c r="K584" s="16"/>
      <c r="L584" s="5"/>
      <c r="M584" s="17"/>
      <c r="N584" s="3" t="str">
        <f aca="false">IF(OR(K584="",M584=""),"",IF(C584="STATS_ONLY","stats",IF(ROUND(K584/M584,2)=E584,"OK","CHECK")))</f>
        <v/>
      </c>
      <c r="O584" s="3" t="str">
        <f aca="false">TEXT(D584,"yyyy-mm")</f>
        <v>2026-05</v>
      </c>
      <c r="P584" s="13"/>
    </row>
    <row r="585" customFormat="false" ht="15" hidden="false" customHeight="false" outlineLevel="0" collapsed="false">
      <c r="A585" s="5" t="s">
        <v>28</v>
      </c>
      <c r="B585" s="5" t="n">
        <v>9006</v>
      </c>
      <c r="C585" s="5" t="s">
        <v>152</v>
      </c>
      <c r="D585" s="14" t="n">
        <v>46146</v>
      </c>
      <c r="E585" s="15" t="n">
        <v>2150</v>
      </c>
      <c r="F585" s="5" t="s">
        <v>309</v>
      </c>
      <c r="G585" s="5" t="s">
        <v>265</v>
      </c>
      <c r="H585" s="5" t="s">
        <v>310</v>
      </c>
      <c r="I585" s="5" t="s">
        <v>311</v>
      </c>
      <c r="J585" s="5"/>
      <c r="K585" s="16"/>
      <c r="L585" s="5"/>
      <c r="M585" s="17"/>
      <c r="N585" s="3" t="str">
        <f aca="false">IF(OR(K585="",M585=""),"",IF(C585="STATS_ONLY","stats",IF(ROUND(K585/M585,2)=E585,"OK","CHECK")))</f>
        <v/>
      </c>
      <c r="O585" s="3" t="str">
        <f aca="false">TEXT(D585,"yyyy-mm")</f>
        <v>2026-05</v>
      </c>
      <c r="P585" s="13"/>
    </row>
    <row r="586" customFormat="false" ht="15" hidden="false" customHeight="false" outlineLevel="0" collapsed="false">
      <c r="A586" s="5" t="s">
        <v>28</v>
      </c>
      <c r="B586" s="5" t="n">
        <v>9667</v>
      </c>
      <c r="C586" s="5" t="s">
        <v>152</v>
      </c>
      <c r="D586" s="14" t="n">
        <v>46146</v>
      </c>
      <c r="E586" s="15" t="n">
        <v>-2.43</v>
      </c>
      <c r="F586" s="5" t="s">
        <v>308</v>
      </c>
      <c r="G586" s="5" t="s">
        <v>184</v>
      </c>
      <c r="H586" s="5" t="s">
        <v>306</v>
      </c>
      <c r="I586" s="5" t="s">
        <v>218</v>
      </c>
      <c r="J586" s="5"/>
      <c r="K586" s="16"/>
      <c r="L586" s="5"/>
      <c r="M586" s="17"/>
      <c r="N586" s="3" t="str">
        <f aca="false">IF(OR(K586="",M586=""),"",IF(C586="STATS_ONLY","stats",IF(ROUND(K586/M586,2)=E586,"OK","CHECK")))</f>
        <v/>
      </c>
      <c r="O586" s="3" t="str">
        <f aca="false">TEXT(D586,"yyyy-mm")</f>
        <v>2026-05</v>
      </c>
      <c r="P586" s="13"/>
    </row>
    <row r="587" customFormat="false" ht="15" hidden="false" customHeight="false" outlineLevel="0" collapsed="false">
      <c r="A587" s="5" t="s">
        <v>28</v>
      </c>
      <c r="B587" s="5" t="n">
        <v>9008</v>
      </c>
      <c r="C587" s="5" t="s">
        <v>152</v>
      </c>
      <c r="D587" s="14" t="n">
        <v>46147</v>
      </c>
      <c r="E587" s="15" t="n">
        <v>-45</v>
      </c>
      <c r="F587" s="5" t="s">
        <v>200</v>
      </c>
      <c r="G587" s="5" t="s">
        <v>163</v>
      </c>
      <c r="H587" s="5" t="s">
        <v>164</v>
      </c>
      <c r="I587" s="5" t="s">
        <v>201</v>
      </c>
      <c r="J587" s="5"/>
      <c r="K587" s="16"/>
      <c r="L587" s="5"/>
      <c r="M587" s="17"/>
      <c r="N587" s="3" t="str">
        <f aca="false">IF(OR(K587="",M587=""),"",IF(C587="STATS_ONLY","stats",IF(ROUND(K587/M587,2)=E587,"OK","CHECK")))</f>
        <v/>
      </c>
      <c r="O587" s="3" t="str">
        <f aca="false">TEXT(D587,"yyyy-mm")</f>
        <v>2026-05</v>
      </c>
      <c r="P587" s="13"/>
    </row>
    <row r="588" customFormat="false" ht="15" hidden="false" customHeight="false" outlineLevel="0" collapsed="false">
      <c r="A588" s="5" t="s">
        <v>28</v>
      </c>
      <c r="B588" s="5" t="n">
        <v>9668</v>
      </c>
      <c r="C588" s="5" t="s">
        <v>152</v>
      </c>
      <c r="D588" s="14" t="n">
        <v>46147</v>
      </c>
      <c r="E588" s="15" t="n">
        <v>-42.42</v>
      </c>
      <c r="F588" s="5" t="s">
        <v>307</v>
      </c>
      <c r="G588" s="5" t="s">
        <v>184</v>
      </c>
      <c r="H588" s="5" t="s">
        <v>303</v>
      </c>
      <c r="I588" s="5" t="s">
        <v>312</v>
      </c>
      <c r="J588" s="5"/>
      <c r="K588" s="16"/>
      <c r="L588" s="5"/>
      <c r="M588" s="17"/>
      <c r="N588" s="3" t="str">
        <f aca="false">IF(OR(K588="",M588=""),"",IF(C588="STATS_ONLY","stats",IF(ROUND(K588/M588,2)=E588,"OK","CHECK")))</f>
        <v/>
      </c>
      <c r="O588" s="3" t="str">
        <f aca="false">TEXT(D588,"yyyy-mm")</f>
        <v>2026-05</v>
      </c>
      <c r="P588" s="13"/>
    </row>
    <row r="589" customFormat="false" ht="15" hidden="false" customHeight="false" outlineLevel="0" collapsed="false">
      <c r="A589" s="5" t="s">
        <v>28</v>
      </c>
      <c r="B589" s="5" t="n">
        <v>9007</v>
      </c>
      <c r="C589" s="5" t="s">
        <v>152</v>
      </c>
      <c r="D589" s="14" t="n">
        <v>46148</v>
      </c>
      <c r="E589" s="15" t="n">
        <v>-42.37</v>
      </c>
      <c r="F589" s="5" t="s">
        <v>313</v>
      </c>
      <c r="G589" s="5" t="s">
        <v>184</v>
      </c>
      <c r="H589" s="5" t="s">
        <v>303</v>
      </c>
      <c r="I589" s="5" t="s">
        <v>312</v>
      </c>
      <c r="J589" s="5"/>
      <c r="K589" s="16"/>
      <c r="L589" s="5"/>
      <c r="M589" s="17"/>
      <c r="N589" s="3" t="str">
        <f aca="false">IF(OR(K589="",M589=""),"",IF(C589="STATS_ONLY","stats",IF(ROUND(K589/M589,2)=E589,"OK","CHECK")))</f>
        <v/>
      </c>
      <c r="O589" s="3" t="str">
        <f aca="false">TEXT(D589,"yyyy-mm")</f>
        <v>2026-05</v>
      </c>
      <c r="P589" s="13"/>
    </row>
    <row r="590" customFormat="false" ht="15" hidden="false" customHeight="false" outlineLevel="0" collapsed="false">
      <c r="A590" s="5" t="s">
        <v>28</v>
      </c>
      <c r="B590" s="5" t="n">
        <v>9669</v>
      </c>
      <c r="C590" s="5" t="s">
        <v>152</v>
      </c>
      <c r="D590" s="14" t="n">
        <v>46148</v>
      </c>
      <c r="E590" s="15" t="n">
        <v>-30.74</v>
      </c>
      <c r="F590" s="5" t="s">
        <v>302</v>
      </c>
      <c r="G590" s="5" t="s">
        <v>184</v>
      </c>
      <c r="H590" s="5" t="s">
        <v>303</v>
      </c>
      <c r="I590" s="5" t="s">
        <v>312</v>
      </c>
      <c r="J590" s="5"/>
      <c r="K590" s="16"/>
      <c r="L590" s="5"/>
      <c r="M590" s="17"/>
      <c r="N590" s="3" t="str">
        <f aca="false">IF(OR(K590="",M590=""),"",IF(C590="STATS_ONLY","stats",IF(ROUND(K590/M590,2)=E590,"OK","CHECK")))</f>
        <v/>
      </c>
      <c r="O590" s="3" t="str">
        <f aca="false">TEXT(D590,"yyyy-mm")</f>
        <v>2026-05</v>
      </c>
      <c r="P590" s="13"/>
    </row>
    <row r="591" customFormat="false" ht="15" hidden="false" customHeight="false" outlineLevel="0" collapsed="false">
      <c r="A591" s="5" t="s">
        <v>28</v>
      </c>
      <c r="B591" s="5" t="n">
        <v>9670</v>
      </c>
      <c r="C591" s="5" t="s">
        <v>152</v>
      </c>
      <c r="D591" s="14" t="n">
        <v>46148</v>
      </c>
      <c r="E591" s="15" t="n">
        <v>-2.47</v>
      </c>
      <c r="F591" s="5" t="s">
        <v>305</v>
      </c>
      <c r="G591" s="5" t="s">
        <v>184</v>
      </c>
      <c r="H591" s="5" t="s">
        <v>306</v>
      </c>
      <c r="I591" s="5" t="s">
        <v>218</v>
      </c>
      <c r="J591" s="5"/>
      <c r="K591" s="16"/>
      <c r="L591" s="5"/>
      <c r="M591" s="17"/>
      <c r="N591" s="3" t="str">
        <f aca="false">IF(OR(K591="",M591=""),"",IF(C591="STATS_ONLY","stats",IF(ROUND(K591/M591,2)=E591,"OK","CHECK")))</f>
        <v/>
      </c>
      <c r="O591" s="3" t="str">
        <f aca="false">TEXT(D591,"yyyy-mm")</f>
        <v>2026-05</v>
      </c>
      <c r="P591" s="13"/>
    </row>
    <row r="592" customFormat="false" ht="15" hidden="false" customHeight="false" outlineLevel="0" collapsed="false">
      <c r="A592" s="5" t="s">
        <v>28</v>
      </c>
      <c r="B592" s="5" t="n">
        <v>9638</v>
      </c>
      <c r="C592" s="5" t="s">
        <v>213</v>
      </c>
      <c r="D592" s="14" t="n">
        <v>46149</v>
      </c>
      <c r="E592" s="15" t="n">
        <v>-21.78</v>
      </c>
      <c r="F592" s="5" t="s">
        <v>214</v>
      </c>
      <c r="G592" s="5" t="s">
        <v>163</v>
      </c>
      <c r="H592" s="5" t="s">
        <v>164</v>
      </c>
      <c r="I592" s="5" t="s">
        <v>215</v>
      </c>
      <c r="J592" s="5"/>
      <c r="K592" s="16"/>
      <c r="L592" s="5"/>
      <c r="M592" s="17"/>
      <c r="N592" s="3" t="str">
        <f aca="false">IF(OR(K592="",M592=""),"",IF(C592="STATS_ONLY","stats",IF(ROUND(K592/M592,2)=E592,"OK","CHECK")))</f>
        <v/>
      </c>
      <c r="O592" s="3" t="str">
        <f aca="false">TEXT(D592,"yyyy-mm")</f>
        <v>2026-05</v>
      </c>
      <c r="P592" s="13"/>
    </row>
    <row r="593" customFormat="false" ht="15" hidden="false" customHeight="false" outlineLevel="0" collapsed="false">
      <c r="A593" s="5" t="s">
        <v>28</v>
      </c>
      <c r="B593" s="5" t="n">
        <v>9671</v>
      </c>
      <c r="C593" s="5" t="s">
        <v>152</v>
      </c>
      <c r="D593" s="14" t="n">
        <v>46149</v>
      </c>
      <c r="E593" s="15" t="n">
        <v>-29.23</v>
      </c>
      <c r="F593" s="5" t="s">
        <v>314</v>
      </c>
      <c r="G593" s="5" t="s">
        <v>184</v>
      </c>
      <c r="H593" s="5" t="s">
        <v>303</v>
      </c>
      <c r="I593" s="5" t="s">
        <v>312</v>
      </c>
      <c r="J593" s="5"/>
      <c r="K593" s="16"/>
      <c r="L593" s="5"/>
      <c r="M593" s="17"/>
      <c r="N593" s="3" t="str">
        <f aca="false">IF(OR(K593="",M593=""),"",IF(C593="STATS_ONLY","stats",IF(ROUND(K593/M593,2)=E593,"OK","CHECK")))</f>
        <v/>
      </c>
      <c r="O593" s="3" t="str">
        <f aca="false">TEXT(D593,"yyyy-mm")</f>
        <v>2026-05</v>
      </c>
      <c r="P593" s="13"/>
    </row>
    <row r="594" customFormat="false" ht="15" hidden="false" customHeight="false" outlineLevel="0" collapsed="false">
      <c r="A594" s="5" t="s">
        <v>28</v>
      </c>
      <c r="B594" s="5" t="n">
        <v>9639</v>
      </c>
      <c r="C594" s="5" t="s">
        <v>152</v>
      </c>
      <c r="D594" s="14" t="n">
        <v>46150</v>
      </c>
      <c r="E594" s="15" t="n">
        <v>-2.99</v>
      </c>
      <c r="F594" s="5" t="s">
        <v>219</v>
      </c>
      <c r="G594" s="5" t="s">
        <v>163</v>
      </c>
      <c r="H594" s="5" t="s">
        <v>164</v>
      </c>
      <c r="I594" s="5" t="s">
        <v>220</v>
      </c>
      <c r="J594" s="5"/>
      <c r="K594" s="16"/>
      <c r="L594" s="5"/>
      <c r="M594" s="17"/>
      <c r="N594" s="3" t="str">
        <f aca="false">IF(OR(K594="",M594=""),"",IF(C594="STATS_ONLY","stats",IF(ROUND(K594/M594,2)=E594,"OK","CHECK")))</f>
        <v/>
      </c>
      <c r="O594" s="3" t="str">
        <f aca="false">TEXT(D594,"yyyy-mm")</f>
        <v>2026-05</v>
      </c>
      <c r="P594" s="13"/>
    </row>
    <row r="595" customFormat="false" ht="15" hidden="false" customHeight="false" outlineLevel="0" collapsed="false">
      <c r="A595" s="5" t="s">
        <v>28</v>
      </c>
      <c r="B595" s="5" t="n">
        <v>9672</v>
      </c>
      <c r="C595" s="5" t="s">
        <v>152</v>
      </c>
      <c r="D595" s="14" t="n">
        <v>46152</v>
      </c>
      <c r="E595" s="15" t="n">
        <v>-37.12</v>
      </c>
      <c r="F595" s="5" t="s">
        <v>314</v>
      </c>
      <c r="G595" s="5" t="s">
        <v>184</v>
      </c>
      <c r="H595" s="5" t="s">
        <v>303</v>
      </c>
      <c r="I595" s="5" t="s">
        <v>312</v>
      </c>
      <c r="J595" s="5"/>
      <c r="K595" s="16"/>
      <c r="L595" s="5"/>
      <c r="M595" s="17"/>
      <c r="N595" s="3" t="str">
        <f aca="false">IF(OR(K595="",M595=""),"",IF(C595="STATS_ONLY","stats",IF(ROUND(K595/M595,2)=E595,"OK","CHECK")))</f>
        <v/>
      </c>
      <c r="O595" s="3" t="str">
        <f aca="false">TEXT(D595,"yyyy-mm")</f>
        <v>2026-05</v>
      </c>
      <c r="P595" s="13"/>
    </row>
    <row r="596" customFormat="false" ht="15" hidden="false" customHeight="false" outlineLevel="0" collapsed="false">
      <c r="A596" s="5" t="s">
        <v>28</v>
      </c>
      <c r="B596" s="5" t="n">
        <v>9673</v>
      </c>
      <c r="C596" s="5" t="s">
        <v>152</v>
      </c>
      <c r="D596" s="14" t="n">
        <v>46153</v>
      </c>
      <c r="E596" s="15" t="n">
        <v>-42.88</v>
      </c>
      <c r="F596" s="5" t="s">
        <v>315</v>
      </c>
      <c r="G596" s="5" t="s">
        <v>184</v>
      </c>
      <c r="H596" s="5" t="s">
        <v>303</v>
      </c>
      <c r="I596" s="5" t="s">
        <v>312</v>
      </c>
      <c r="J596" s="5"/>
      <c r="K596" s="16"/>
      <c r="L596" s="5"/>
      <c r="M596" s="17"/>
      <c r="N596" s="3" t="str">
        <f aca="false">IF(OR(K596="",M596=""),"",IF(C596="STATS_ONLY","stats",IF(ROUND(K596/M596,2)=E596,"OK","CHECK")))</f>
        <v/>
      </c>
      <c r="O596" s="3" t="str">
        <f aca="false">TEXT(D596,"yyyy-mm")</f>
        <v>2026-05</v>
      </c>
      <c r="P596" s="13"/>
    </row>
    <row r="597" customFormat="false" ht="15" hidden="false" customHeight="false" outlineLevel="0" collapsed="false">
      <c r="A597" s="5" t="s">
        <v>28</v>
      </c>
      <c r="B597" s="5" t="n">
        <v>9674</v>
      </c>
      <c r="C597" s="5" t="s">
        <v>152</v>
      </c>
      <c r="D597" s="14" t="n">
        <v>46153</v>
      </c>
      <c r="E597" s="15" t="n">
        <v>-2.4</v>
      </c>
      <c r="F597" s="5" t="s">
        <v>308</v>
      </c>
      <c r="G597" s="5" t="s">
        <v>184</v>
      </c>
      <c r="H597" s="5" t="s">
        <v>306</v>
      </c>
      <c r="I597" s="5" t="s">
        <v>218</v>
      </c>
      <c r="J597" s="5"/>
      <c r="K597" s="16"/>
      <c r="L597" s="5"/>
      <c r="M597" s="17"/>
      <c r="N597" s="3" t="str">
        <f aca="false">IF(OR(K597="",M597=""),"",IF(C597="STATS_ONLY","stats",IF(ROUND(K597/M597,2)=E597,"OK","CHECK")))</f>
        <v/>
      </c>
      <c r="O597" s="3" t="str">
        <f aca="false">TEXT(D597,"yyyy-mm")</f>
        <v>2026-05</v>
      </c>
      <c r="P597" s="13"/>
    </row>
    <row r="598" customFormat="false" ht="15" hidden="false" customHeight="false" outlineLevel="0" collapsed="false">
      <c r="A598" s="5" t="s">
        <v>28</v>
      </c>
      <c r="B598" s="5" t="n">
        <v>9675</v>
      </c>
      <c r="C598" s="5" t="s">
        <v>152</v>
      </c>
      <c r="D598" s="14" t="n">
        <v>46154</v>
      </c>
      <c r="E598" s="15" t="n">
        <v>-11.09</v>
      </c>
      <c r="F598" s="5" t="s">
        <v>307</v>
      </c>
      <c r="G598" s="5" t="s">
        <v>184</v>
      </c>
      <c r="H598" s="5" t="s">
        <v>303</v>
      </c>
      <c r="I598" s="5" t="s">
        <v>312</v>
      </c>
      <c r="J598" s="5"/>
      <c r="K598" s="16"/>
      <c r="L598" s="5"/>
      <c r="M598" s="17"/>
      <c r="N598" s="3" t="str">
        <f aca="false">IF(OR(K598="",M598=""),"",IF(C598="STATS_ONLY","stats",IF(ROUND(K598/M598,2)=E598,"OK","CHECK")))</f>
        <v/>
      </c>
      <c r="O598" s="3" t="str">
        <f aca="false">TEXT(D598,"yyyy-mm")</f>
        <v>2026-05</v>
      </c>
      <c r="P598" s="13"/>
    </row>
    <row r="599" customFormat="false" ht="15" hidden="false" customHeight="false" outlineLevel="0" collapsed="false">
      <c r="A599" s="5" t="s">
        <v>28</v>
      </c>
      <c r="B599" s="5" t="n">
        <v>9676</v>
      </c>
      <c r="C599" s="5" t="s">
        <v>152</v>
      </c>
      <c r="D599" s="14" t="n">
        <v>46155</v>
      </c>
      <c r="E599" s="15" t="n">
        <v>-38.34</v>
      </c>
      <c r="F599" s="5" t="s">
        <v>314</v>
      </c>
      <c r="G599" s="5" t="s">
        <v>184</v>
      </c>
      <c r="H599" s="5" t="s">
        <v>303</v>
      </c>
      <c r="I599" s="5" t="s">
        <v>312</v>
      </c>
      <c r="J599" s="5"/>
      <c r="K599" s="16"/>
      <c r="L599" s="5"/>
      <c r="M599" s="17"/>
      <c r="N599" s="3" t="str">
        <f aca="false">IF(OR(K599="",M599=""),"",IF(C599="STATS_ONLY","stats",IF(ROUND(K599/M599,2)=E599,"OK","CHECK")))</f>
        <v/>
      </c>
      <c r="O599" s="3" t="str">
        <f aca="false">TEXT(D599,"yyyy-mm")</f>
        <v>2026-05</v>
      </c>
      <c r="P599" s="13"/>
    </row>
    <row r="600" customFormat="false" ht="15" hidden="false" customHeight="false" outlineLevel="0" collapsed="false">
      <c r="A600" s="5" t="s">
        <v>28</v>
      </c>
      <c r="B600" s="5" t="n">
        <v>9677</v>
      </c>
      <c r="C600" s="5" t="s">
        <v>152</v>
      </c>
      <c r="D600" s="14" t="n">
        <v>46156</v>
      </c>
      <c r="E600" s="15" t="n">
        <v>-23.97</v>
      </c>
      <c r="F600" s="5" t="s">
        <v>315</v>
      </c>
      <c r="G600" s="5" t="s">
        <v>184</v>
      </c>
      <c r="H600" s="5" t="s">
        <v>303</v>
      </c>
      <c r="I600" s="5" t="s">
        <v>312</v>
      </c>
      <c r="J600" s="5"/>
      <c r="K600" s="16"/>
      <c r="L600" s="5"/>
      <c r="M600" s="17"/>
      <c r="N600" s="3" t="str">
        <f aca="false">IF(OR(K600="",M600=""),"",IF(C600="STATS_ONLY","stats",IF(ROUND(K600/M600,2)=E600,"OK","CHECK")))</f>
        <v/>
      </c>
      <c r="O600" s="3" t="str">
        <f aca="false">TEXT(D600,"yyyy-mm")</f>
        <v>2026-05</v>
      </c>
      <c r="P600" s="13"/>
    </row>
    <row r="601" customFormat="false" ht="15" hidden="false" customHeight="false" outlineLevel="0" collapsed="false">
      <c r="A601" s="5" t="s">
        <v>28</v>
      </c>
      <c r="B601" s="5" t="n">
        <v>9678</v>
      </c>
      <c r="C601" s="5" t="s">
        <v>152</v>
      </c>
      <c r="D601" s="14" t="n">
        <v>46157</v>
      </c>
      <c r="E601" s="15" t="n">
        <v>-34.26</v>
      </c>
      <c r="F601" s="5" t="s">
        <v>315</v>
      </c>
      <c r="G601" s="5" t="s">
        <v>184</v>
      </c>
      <c r="H601" s="5" t="s">
        <v>303</v>
      </c>
      <c r="I601" s="5" t="s">
        <v>312</v>
      </c>
      <c r="J601" s="5"/>
      <c r="K601" s="16"/>
      <c r="L601" s="5"/>
      <c r="M601" s="17"/>
      <c r="N601" s="3" t="str">
        <f aca="false">IF(OR(K601="",M601=""),"",IF(C601="STATS_ONLY","stats",IF(ROUND(K601/M601,2)=E601,"OK","CHECK")))</f>
        <v/>
      </c>
      <c r="O601" s="3" t="str">
        <f aca="false">TEXT(D601,"yyyy-mm")</f>
        <v>2026-05</v>
      </c>
      <c r="P601" s="13"/>
    </row>
    <row r="602" customFormat="false" ht="15" hidden="false" customHeight="false" outlineLevel="0" collapsed="false">
      <c r="A602" s="5" t="s">
        <v>28</v>
      </c>
      <c r="B602" s="5" t="n">
        <v>9679</v>
      </c>
      <c r="C602" s="5" t="s">
        <v>152</v>
      </c>
      <c r="D602" s="14" t="n">
        <v>46157</v>
      </c>
      <c r="E602" s="15" t="n">
        <v>-3.28</v>
      </c>
      <c r="F602" s="5" t="s">
        <v>305</v>
      </c>
      <c r="G602" s="5" t="s">
        <v>184</v>
      </c>
      <c r="H602" s="5" t="s">
        <v>306</v>
      </c>
      <c r="I602" s="5" t="s">
        <v>218</v>
      </c>
      <c r="J602" s="5"/>
      <c r="K602" s="16"/>
      <c r="L602" s="5"/>
      <c r="M602" s="17"/>
      <c r="N602" s="3" t="str">
        <f aca="false">IF(OR(K602="",M602=""),"",IF(C602="STATS_ONLY","stats",IF(ROUND(K602/M602,2)=E602,"OK","CHECK")))</f>
        <v/>
      </c>
      <c r="O602" s="3" t="str">
        <f aca="false">TEXT(D602,"yyyy-mm")</f>
        <v>2026-05</v>
      </c>
      <c r="P602" s="13"/>
    </row>
    <row r="603" customFormat="false" ht="15" hidden="false" customHeight="false" outlineLevel="0" collapsed="false">
      <c r="A603" s="5" t="s">
        <v>28</v>
      </c>
      <c r="B603" s="5" t="n">
        <v>9680</v>
      </c>
      <c r="C603" s="5" t="s">
        <v>152</v>
      </c>
      <c r="D603" s="14" t="n">
        <v>46160</v>
      </c>
      <c r="E603" s="15" t="n">
        <v>-13.48</v>
      </c>
      <c r="F603" s="5" t="s">
        <v>307</v>
      </c>
      <c r="G603" s="5" t="s">
        <v>184</v>
      </c>
      <c r="H603" s="5" t="s">
        <v>303</v>
      </c>
      <c r="I603" s="5" t="s">
        <v>312</v>
      </c>
      <c r="J603" s="5"/>
      <c r="K603" s="16"/>
      <c r="L603" s="5"/>
      <c r="M603" s="17"/>
      <c r="N603" s="3" t="str">
        <f aca="false">IF(OR(K603="",M603=""),"",IF(C603="STATS_ONLY","stats",IF(ROUND(K603/M603,2)=E603,"OK","CHECK")))</f>
        <v/>
      </c>
      <c r="O603" s="3" t="str">
        <f aca="false">TEXT(D603,"yyyy-mm")</f>
        <v>2026-05</v>
      </c>
      <c r="P603" s="13"/>
    </row>
    <row r="604" customFormat="false" ht="15" hidden="false" customHeight="false" outlineLevel="0" collapsed="false">
      <c r="A604" s="5" t="s">
        <v>28</v>
      </c>
      <c r="B604" s="5" t="n">
        <v>9681</v>
      </c>
      <c r="C604" s="5" t="s">
        <v>152</v>
      </c>
      <c r="D604" s="14" t="n">
        <v>46160</v>
      </c>
      <c r="E604" s="15" t="n">
        <v>-3.01</v>
      </c>
      <c r="F604" s="5" t="s">
        <v>316</v>
      </c>
      <c r="G604" s="5" t="s">
        <v>184</v>
      </c>
      <c r="H604" s="5" t="s">
        <v>306</v>
      </c>
      <c r="I604" s="5" t="s">
        <v>218</v>
      </c>
      <c r="J604" s="5"/>
      <c r="K604" s="16"/>
      <c r="L604" s="5"/>
      <c r="M604" s="17"/>
      <c r="N604" s="3" t="str">
        <f aca="false">IF(OR(K604="",M604=""),"",IF(C604="STATS_ONLY","stats",IF(ROUND(K604/M604,2)=E604,"OK","CHECK")))</f>
        <v/>
      </c>
      <c r="O604" s="3" t="str">
        <f aca="false">TEXT(D604,"yyyy-mm")</f>
        <v>2026-05</v>
      </c>
      <c r="P604" s="13"/>
    </row>
    <row r="605" customFormat="false" ht="15" hidden="false" customHeight="false" outlineLevel="0" collapsed="false">
      <c r="A605" s="5" t="s">
        <v>28</v>
      </c>
      <c r="B605" s="5" t="n">
        <v>9682</v>
      </c>
      <c r="C605" s="5" t="s">
        <v>152</v>
      </c>
      <c r="D605" s="14" t="n">
        <v>46161</v>
      </c>
      <c r="E605" s="15" t="n">
        <v>-14.84</v>
      </c>
      <c r="F605" s="5" t="s">
        <v>307</v>
      </c>
      <c r="G605" s="5" t="s">
        <v>184</v>
      </c>
      <c r="H605" s="5" t="s">
        <v>303</v>
      </c>
      <c r="I605" s="5" t="s">
        <v>312</v>
      </c>
      <c r="J605" s="5"/>
      <c r="K605" s="16"/>
      <c r="L605" s="5"/>
      <c r="M605" s="17"/>
      <c r="N605" s="3" t="str">
        <f aca="false">IF(OR(K605="",M605=""),"",IF(C605="STATS_ONLY","stats",IF(ROUND(K605/M605,2)=E605,"OK","CHECK")))</f>
        <v/>
      </c>
      <c r="O605" s="3" t="str">
        <f aca="false">TEXT(D605,"yyyy-mm")</f>
        <v>2026-05</v>
      </c>
      <c r="P605" s="13"/>
    </row>
    <row r="606" customFormat="false" ht="15" hidden="false" customHeight="false" outlineLevel="0" collapsed="false">
      <c r="A606" s="5" t="s">
        <v>28</v>
      </c>
      <c r="B606" s="5" t="n">
        <v>9683</v>
      </c>
      <c r="C606" s="5" t="s">
        <v>152</v>
      </c>
      <c r="D606" s="14" t="n">
        <v>46161</v>
      </c>
      <c r="E606" s="15" t="n">
        <v>-2.26</v>
      </c>
      <c r="F606" s="5" t="s">
        <v>316</v>
      </c>
      <c r="G606" s="5" t="s">
        <v>184</v>
      </c>
      <c r="H606" s="5" t="s">
        <v>306</v>
      </c>
      <c r="I606" s="5" t="s">
        <v>218</v>
      </c>
      <c r="J606" s="5"/>
      <c r="K606" s="16"/>
      <c r="L606" s="5"/>
      <c r="M606" s="17"/>
      <c r="N606" s="3" t="str">
        <f aca="false">IF(OR(K606="",M606=""),"",IF(C606="STATS_ONLY","stats",IF(ROUND(K606/M606,2)=E606,"OK","CHECK")))</f>
        <v/>
      </c>
      <c r="O606" s="3" t="str">
        <f aca="false">TEXT(D606,"yyyy-mm")</f>
        <v>2026-05</v>
      </c>
      <c r="P606" s="13"/>
    </row>
    <row r="607" customFormat="false" ht="15" hidden="false" customHeight="false" outlineLevel="0" collapsed="false">
      <c r="A607" s="5" t="s">
        <v>28</v>
      </c>
      <c r="B607" s="5" t="n">
        <v>9641</v>
      </c>
      <c r="C607" s="5" t="s">
        <v>152</v>
      </c>
      <c r="D607" s="14" t="n">
        <v>46162</v>
      </c>
      <c r="E607" s="15" t="n">
        <v>-152</v>
      </c>
      <c r="F607" s="5" t="s">
        <v>243</v>
      </c>
      <c r="G607" s="5" t="s">
        <v>163</v>
      </c>
      <c r="H607" s="5" t="s">
        <v>164</v>
      </c>
      <c r="I607" s="5" t="s">
        <v>244</v>
      </c>
      <c r="J607" s="5"/>
      <c r="K607" s="16"/>
      <c r="L607" s="5"/>
      <c r="M607" s="17"/>
      <c r="N607" s="3" t="str">
        <f aca="false">IF(OR(K607="",M607=""),"",IF(C607="STATS_ONLY","stats",IF(ROUND(K607/M607,2)=E607,"OK","CHECK")))</f>
        <v/>
      </c>
      <c r="O607" s="3" t="str">
        <f aca="false">TEXT(D607,"yyyy-mm")</f>
        <v>2026-05</v>
      </c>
      <c r="P607" s="13"/>
    </row>
    <row r="608" customFormat="false" ht="15" hidden="false" customHeight="false" outlineLevel="0" collapsed="false">
      <c r="A608" s="5" t="s">
        <v>28</v>
      </c>
      <c r="B608" s="5" t="n">
        <v>9642</v>
      </c>
      <c r="C608" s="5" t="s">
        <v>152</v>
      </c>
      <c r="D608" s="14" t="n">
        <v>46162</v>
      </c>
      <c r="E608" s="15" t="n">
        <v>131</v>
      </c>
      <c r="F608" s="5" t="s">
        <v>245</v>
      </c>
      <c r="G608" s="5" t="s">
        <v>163</v>
      </c>
      <c r="H608" s="5" t="s">
        <v>164</v>
      </c>
      <c r="I608" s="5" t="s">
        <v>244</v>
      </c>
      <c r="J608" s="5"/>
      <c r="K608" s="16"/>
      <c r="L608" s="5"/>
      <c r="M608" s="17"/>
      <c r="N608" s="3" t="str">
        <f aca="false">IF(OR(K608="",M608=""),"",IF(C608="STATS_ONLY","stats",IF(ROUND(K608/M608,2)=E608,"OK","CHECK")))</f>
        <v/>
      </c>
      <c r="O608" s="3" t="str">
        <f aca="false">TEXT(D608,"yyyy-mm")</f>
        <v>2026-05</v>
      </c>
      <c r="P608" s="13"/>
    </row>
    <row r="609" customFormat="false" ht="15" hidden="false" customHeight="false" outlineLevel="0" collapsed="false">
      <c r="A609" s="5" t="s">
        <v>28</v>
      </c>
      <c r="B609" s="5" t="n">
        <v>9684</v>
      </c>
      <c r="C609" s="5" t="s">
        <v>152</v>
      </c>
      <c r="D609" s="14" t="n">
        <v>46162</v>
      </c>
      <c r="E609" s="15" t="n">
        <v>-10.67</v>
      </c>
      <c r="F609" s="5" t="s">
        <v>302</v>
      </c>
      <c r="G609" s="5" t="s">
        <v>184</v>
      </c>
      <c r="H609" s="5" t="s">
        <v>303</v>
      </c>
      <c r="I609" s="5" t="s">
        <v>312</v>
      </c>
      <c r="J609" s="5"/>
      <c r="K609" s="16"/>
      <c r="L609" s="5"/>
      <c r="M609" s="17"/>
      <c r="N609" s="3" t="str">
        <f aca="false">IF(OR(K609="",M609=""),"",IF(C609="STATS_ONLY","stats",IF(ROUND(K609/M609,2)=E609,"OK","CHECK")))</f>
        <v/>
      </c>
      <c r="O609" s="3" t="str">
        <f aca="false">TEXT(D609,"yyyy-mm")</f>
        <v>2026-05</v>
      </c>
      <c r="P609" s="13"/>
    </row>
    <row r="610" customFormat="false" ht="15" hidden="false" customHeight="false" outlineLevel="0" collapsed="false">
      <c r="A610" s="5" t="s">
        <v>28</v>
      </c>
      <c r="B610" s="5" t="n">
        <v>9685</v>
      </c>
      <c r="C610" s="5" t="s">
        <v>152</v>
      </c>
      <c r="D610" s="14" t="n">
        <v>46164</v>
      </c>
      <c r="E610" s="15" t="n">
        <v>-39.45</v>
      </c>
      <c r="F610" s="5" t="s">
        <v>315</v>
      </c>
      <c r="G610" s="5" t="s">
        <v>184</v>
      </c>
      <c r="H610" s="5" t="s">
        <v>303</v>
      </c>
      <c r="I610" s="5" t="s">
        <v>312</v>
      </c>
      <c r="J610" s="5"/>
      <c r="K610" s="16"/>
      <c r="L610" s="5"/>
      <c r="M610" s="17"/>
      <c r="N610" s="3" t="str">
        <f aca="false">IF(OR(K610="",M610=""),"",IF(C610="STATS_ONLY","stats",IF(ROUND(K610/M610,2)=E610,"OK","CHECK")))</f>
        <v/>
      </c>
      <c r="O610" s="3" t="str">
        <f aca="false">TEXT(D610,"yyyy-mm")</f>
        <v>2026-05</v>
      </c>
      <c r="P610" s="13"/>
    </row>
    <row r="611" customFormat="false" ht="15" hidden="false" customHeight="false" outlineLevel="0" collapsed="false">
      <c r="A611" s="5" t="s">
        <v>28</v>
      </c>
      <c r="B611" s="5" t="n">
        <v>9640</v>
      </c>
      <c r="C611" s="5" t="s">
        <v>152</v>
      </c>
      <c r="D611" s="14" t="n">
        <v>46165</v>
      </c>
      <c r="E611" s="15" t="n">
        <v>-7</v>
      </c>
      <c r="F611" s="5" t="s">
        <v>249</v>
      </c>
      <c r="G611" s="5" t="s">
        <v>163</v>
      </c>
      <c r="H611" s="5" t="s">
        <v>164</v>
      </c>
      <c r="I611" s="5" t="s">
        <v>250</v>
      </c>
      <c r="J611" s="5"/>
      <c r="K611" s="16"/>
      <c r="L611" s="5"/>
      <c r="M611" s="17"/>
      <c r="N611" s="3" t="str">
        <f aca="false">IF(OR(K611="",M611=""),"",IF(C611="STATS_ONLY","stats",IF(ROUND(K611/M611,2)=E611,"OK","CHECK")))</f>
        <v/>
      </c>
      <c r="O611" s="3" t="str">
        <f aca="false">TEXT(D611,"yyyy-mm")</f>
        <v>2026-05</v>
      </c>
      <c r="P611" s="13"/>
    </row>
    <row r="612" customFormat="false" ht="15" hidden="false" customHeight="false" outlineLevel="0" collapsed="false">
      <c r="A612" s="5" t="s">
        <v>28</v>
      </c>
      <c r="B612" s="5" t="n">
        <v>9686</v>
      </c>
      <c r="C612" s="5" t="s">
        <v>152</v>
      </c>
      <c r="D612" s="14" t="n">
        <v>46165</v>
      </c>
      <c r="E612" s="15" t="n">
        <v>-15.77</v>
      </c>
      <c r="F612" s="5" t="s">
        <v>317</v>
      </c>
      <c r="G612" s="5" t="s">
        <v>184</v>
      </c>
      <c r="H612" s="5" t="s">
        <v>185</v>
      </c>
      <c r="I612" s="5" t="s">
        <v>186</v>
      </c>
      <c r="J612" s="5"/>
      <c r="K612" s="16"/>
      <c r="L612" s="5"/>
      <c r="M612" s="17"/>
      <c r="N612" s="3" t="str">
        <f aca="false">IF(OR(K612="",M612=""),"",IF(C612="STATS_ONLY","stats",IF(ROUND(K612/M612,2)=E612,"OK","CHECK")))</f>
        <v/>
      </c>
      <c r="O612" s="3" t="str">
        <f aca="false">TEXT(D612,"yyyy-mm")</f>
        <v>2026-05</v>
      </c>
      <c r="P612" s="13"/>
    </row>
    <row r="613" customFormat="false" ht="15" hidden="false" customHeight="false" outlineLevel="0" collapsed="false">
      <c r="A613" s="5" t="s">
        <v>28</v>
      </c>
      <c r="B613" s="5" t="n">
        <v>9651</v>
      </c>
      <c r="C613" s="5" t="s">
        <v>152</v>
      </c>
      <c r="D613" s="14" t="n">
        <v>46166</v>
      </c>
      <c r="E613" s="15" t="n">
        <v>12.5</v>
      </c>
      <c r="F613" s="5" t="s">
        <v>318</v>
      </c>
      <c r="G613" s="5" t="s">
        <v>163</v>
      </c>
      <c r="H613" s="5" t="s">
        <v>164</v>
      </c>
      <c r="I613" s="5" t="s">
        <v>201</v>
      </c>
      <c r="J613" s="5"/>
      <c r="K613" s="16"/>
      <c r="L613" s="5"/>
      <c r="M613" s="17"/>
      <c r="N613" s="3" t="str">
        <f aca="false">IF(OR(K613="",M613=""),"",IF(C613="STATS_ONLY","stats",IF(ROUND(K613/M613,2)=E613,"OK","CHECK")))</f>
        <v/>
      </c>
      <c r="O613" s="3" t="str">
        <f aca="false">TEXT(D613,"yyyy-mm")</f>
        <v>2026-05</v>
      </c>
      <c r="P613" s="13"/>
    </row>
    <row r="614" customFormat="false" ht="15" hidden="false" customHeight="false" outlineLevel="0" collapsed="false">
      <c r="A614" s="5" t="s">
        <v>28</v>
      </c>
      <c r="B614" s="5" t="n">
        <v>9687</v>
      </c>
      <c r="C614" s="5" t="s">
        <v>152</v>
      </c>
      <c r="D614" s="14" t="n">
        <v>46169</v>
      </c>
      <c r="E614" s="15" t="n">
        <v>-39.02</v>
      </c>
      <c r="F614" s="5" t="s">
        <v>314</v>
      </c>
      <c r="G614" s="5" t="s">
        <v>184</v>
      </c>
      <c r="H614" s="5" t="s">
        <v>303</v>
      </c>
      <c r="I614" s="5" t="s">
        <v>312</v>
      </c>
      <c r="J614" s="5"/>
      <c r="K614" s="16"/>
      <c r="L614" s="5"/>
      <c r="M614" s="17"/>
      <c r="N614" s="3" t="str">
        <f aca="false">IF(OR(K614="",M614=""),"",IF(C614="STATS_ONLY","stats",IF(ROUND(K614/M614,2)=E614,"OK","CHECK")))</f>
        <v/>
      </c>
      <c r="O614" s="3" t="str">
        <f aca="false">TEXT(D614,"yyyy-mm")</f>
        <v>2026-05</v>
      </c>
      <c r="P614" s="13"/>
    </row>
    <row r="615" customFormat="false" ht="15" hidden="false" customHeight="false" outlineLevel="0" collapsed="false">
      <c r="A615" s="5" t="s">
        <v>28</v>
      </c>
      <c r="B615" s="5" t="n">
        <v>9688</v>
      </c>
      <c r="C615" s="5" t="s">
        <v>152</v>
      </c>
      <c r="D615" s="14" t="n">
        <v>46170</v>
      </c>
      <c r="E615" s="15" t="n">
        <v>-35.16</v>
      </c>
      <c r="F615" s="5" t="s">
        <v>302</v>
      </c>
      <c r="G615" s="5" t="s">
        <v>184</v>
      </c>
      <c r="H615" s="5" t="s">
        <v>303</v>
      </c>
      <c r="I615" s="5" t="s">
        <v>312</v>
      </c>
      <c r="J615" s="5"/>
      <c r="K615" s="16"/>
      <c r="L615" s="5"/>
      <c r="M615" s="17"/>
      <c r="N615" s="3" t="str">
        <f aca="false">IF(OR(K615="",M615=""),"",IF(C615="STATS_ONLY","stats",IF(ROUND(K615/M615,2)=E615,"OK","CHECK")))</f>
        <v/>
      </c>
      <c r="O615" s="3" t="str">
        <f aca="false">TEXT(D615,"yyyy-mm")</f>
        <v>2026-05</v>
      </c>
      <c r="P615" s="13"/>
    </row>
    <row r="616" customFormat="false" ht="15" hidden="false" customHeight="false" outlineLevel="0" collapsed="false">
      <c r="A616" s="5" t="s">
        <v>28</v>
      </c>
      <c r="B616" s="5" t="n">
        <v>9689</v>
      </c>
      <c r="C616" s="5" t="s">
        <v>152</v>
      </c>
      <c r="D616" s="14" t="n">
        <v>46170</v>
      </c>
      <c r="E616" s="15" t="n">
        <v>-2.22</v>
      </c>
      <c r="F616" s="5" t="s">
        <v>308</v>
      </c>
      <c r="G616" s="5" t="s">
        <v>184</v>
      </c>
      <c r="H616" s="5" t="s">
        <v>306</v>
      </c>
      <c r="I616" s="5" t="s">
        <v>218</v>
      </c>
      <c r="J616" s="5"/>
      <c r="K616" s="16"/>
      <c r="L616" s="5"/>
      <c r="M616" s="17"/>
      <c r="N616" s="3" t="str">
        <f aca="false">IF(OR(K616="",M616=""),"",IF(C616="STATS_ONLY","stats",IF(ROUND(K616/M616,2)=E616,"OK","CHECK")))</f>
        <v/>
      </c>
      <c r="O616" s="3" t="str">
        <f aca="false">TEXT(D616,"yyyy-mm")</f>
        <v>2026-05</v>
      </c>
      <c r="P616" s="13"/>
    </row>
    <row r="617" customFormat="false" ht="15" hidden="false" customHeight="false" outlineLevel="0" collapsed="false">
      <c r="A617" s="5" t="s">
        <v>28</v>
      </c>
      <c r="B617" s="5" t="n">
        <v>9690</v>
      </c>
      <c r="C617" s="5" t="s">
        <v>152</v>
      </c>
      <c r="D617" s="14" t="n">
        <v>46170</v>
      </c>
      <c r="E617" s="15" t="n">
        <v>-9.22</v>
      </c>
      <c r="F617" s="5" t="s">
        <v>317</v>
      </c>
      <c r="G617" s="5" t="s">
        <v>184</v>
      </c>
      <c r="H617" s="5" t="s">
        <v>185</v>
      </c>
      <c r="I617" s="5" t="s">
        <v>186</v>
      </c>
      <c r="J617" s="5"/>
      <c r="K617" s="16"/>
      <c r="L617" s="5"/>
      <c r="M617" s="17"/>
      <c r="N617" s="3" t="str">
        <f aca="false">IF(OR(K617="",M617=""),"",IF(C617="STATS_ONLY","stats",IF(ROUND(K617/M617,2)=E617,"OK","CHECK")))</f>
        <v/>
      </c>
      <c r="O617" s="3" t="str">
        <f aca="false">TEXT(D617,"yyyy-mm")</f>
        <v>2026-05</v>
      </c>
      <c r="P617" s="13"/>
    </row>
    <row r="618" customFormat="false" ht="15" hidden="false" customHeight="false" outlineLevel="0" collapsed="false">
      <c r="A618" s="5" t="s">
        <v>28</v>
      </c>
      <c r="B618" s="5" t="n">
        <v>9691</v>
      </c>
      <c r="C618" s="5" t="s">
        <v>152</v>
      </c>
      <c r="D618" s="14" t="n">
        <v>46173</v>
      </c>
      <c r="E618" s="15" t="n">
        <v>-27.39</v>
      </c>
      <c r="F618" s="5" t="s">
        <v>314</v>
      </c>
      <c r="G618" s="5" t="s">
        <v>184</v>
      </c>
      <c r="H618" s="5" t="s">
        <v>303</v>
      </c>
      <c r="I618" s="5" t="s">
        <v>312</v>
      </c>
      <c r="J618" s="5"/>
      <c r="K618" s="16"/>
      <c r="L618" s="5"/>
      <c r="M618" s="17"/>
      <c r="N618" s="3" t="str">
        <f aca="false">IF(OR(K618="",M618=""),"",IF(C618="STATS_ONLY","stats",IF(ROUND(K618/M618,2)=E618,"OK","CHECK")))</f>
        <v/>
      </c>
      <c r="O618" s="3" t="str">
        <f aca="false">TEXT(D618,"yyyy-mm")</f>
        <v>2026-05</v>
      </c>
      <c r="P618" s="13"/>
    </row>
    <row r="619" customFormat="false" ht="15" hidden="false" customHeight="false" outlineLevel="0" collapsed="false">
      <c r="A619" s="5" t="s">
        <v>28</v>
      </c>
      <c r="B619" s="5" t="n">
        <v>9643</v>
      </c>
      <c r="C619" s="5" t="s">
        <v>152</v>
      </c>
      <c r="D619" s="14" t="n">
        <v>46174</v>
      </c>
      <c r="E619" s="15" t="n">
        <v>-15</v>
      </c>
      <c r="F619" s="5" t="s">
        <v>162</v>
      </c>
      <c r="G619" s="5" t="s">
        <v>163</v>
      </c>
      <c r="H619" s="5" t="s">
        <v>164</v>
      </c>
      <c r="I619" s="5" t="s">
        <v>165</v>
      </c>
      <c r="J619" s="5"/>
      <c r="K619" s="16"/>
      <c r="L619" s="5"/>
      <c r="M619" s="17"/>
      <c r="N619" s="3" t="str">
        <f aca="false">IF(OR(K619="",M619=""),"",IF(C619="STATS_ONLY","stats",IF(ROUND(K619/M619,2)=E619,"OK","CHECK")))</f>
        <v/>
      </c>
      <c r="O619" s="3" t="str">
        <f aca="false">TEXT(D619,"yyyy-mm")</f>
        <v>2026-06</v>
      </c>
      <c r="P619" s="13"/>
    </row>
    <row r="620" customFormat="false" ht="15" hidden="false" customHeight="false" outlineLevel="0" collapsed="false">
      <c r="A620" s="5" t="s">
        <v>28</v>
      </c>
      <c r="B620" s="5" t="n">
        <v>9644</v>
      </c>
      <c r="C620" s="5" t="s">
        <v>152</v>
      </c>
      <c r="D620" s="14" t="n">
        <v>46174</v>
      </c>
      <c r="E620" s="15" t="n">
        <v>-100</v>
      </c>
      <c r="F620" s="5" t="s">
        <v>166</v>
      </c>
      <c r="G620" s="5" t="s">
        <v>167</v>
      </c>
      <c r="H620" s="5" t="s">
        <v>167</v>
      </c>
      <c r="I620" s="5" t="s">
        <v>168</v>
      </c>
      <c r="J620" s="5"/>
      <c r="K620" s="16"/>
      <c r="L620" s="5"/>
      <c r="M620" s="17"/>
      <c r="N620" s="3" t="str">
        <f aca="false">IF(OR(K620="",M620=""),"",IF(C620="STATS_ONLY","stats",IF(ROUND(K620/M620,2)=E620,"OK","CHECK")))</f>
        <v/>
      </c>
      <c r="O620" s="3" t="str">
        <f aca="false">TEXT(D620,"yyyy-mm")</f>
        <v>2026-06</v>
      </c>
      <c r="P620" s="13" t="s">
        <v>169</v>
      </c>
    </row>
    <row r="621" customFormat="false" ht="15" hidden="false" customHeight="false" outlineLevel="0" collapsed="false">
      <c r="A621" s="5" t="s">
        <v>28</v>
      </c>
      <c r="B621" s="5" t="n">
        <v>9644</v>
      </c>
      <c r="C621" s="5" t="s">
        <v>158</v>
      </c>
      <c r="D621" s="14" t="n">
        <v>46174</v>
      </c>
      <c r="E621" s="15" t="n">
        <v>100</v>
      </c>
      <c r="F621" s="5" t="s">
        <v>166</v>
      </c>
      <c r="G621" s="5" t="s">
        <v>167</v>
      </c>
      <c r="H621" s="5" t="s">
        <v>167</v>
      </c>
      <c r="I621" s="5" t="s">
        <v>168</v>
      </c>
      <c r="J621" s="5"/>
      <c r="K621" s="16"/>
      <c r="L621" s="5"/>
      <c r="M621" s="17"/>
      <c r="N621" s="3" t="str">
        <f aca="false">IF(OR(K621="",M621=""),"",IF(C621="STATS_ONLY","stats",IF(ROUND(K621/M621,2)=E621,"OK","CHECK")))</f>
        <v/>
      </c>
      <c r="O621" s="3" t="str">
        <f aca="false">TEXT(D621,"yyyy-mm")</f>
        <v>2026-06</v>
      </c>
      <c r="P621" s="13" t="s">
        <v>170</v>
      </c>
    </row>
    <row r="622" customFormat="false" ht="15" hidden="false" customHeight="false" outlineLevel="0" collapsed="false">
      <c r="A622" s="5" t="s">
        <v>28</v>
      </c>
      <c r="B622" s="5" t="n">
        <v>9692</v>
      </c>
      <c r="C622" s="5" t="s">
        <v>152</v>
      </c>
      <c r="D622" s="14" t="n">
        <v>46174</v>
      </c>
      <c r="E622" s="15" t="n">
        <v>-3.15</v>
      </c>
      <c r="F622" s="5" t="s">
        <v>316</v>
      </c>
      <c r="G622" s="5" t="s">
        <v>184</v>
      </c>
      <c r="H622" s="5" t="s">
        <v>306</v>
      </c>
      <c r="I622" s="5" t="s">
        <v>218</v>
      </c>
      <c r="J622" s="5"/>
      <c r="K622" s="16"/>
      <c r="L622" s="5"/>
      <c r="M622" s="17"/>
      <c r="N622" s="3" t="str">
        <f aca="false">IF(OR(K622="",M622=""),"",IF(C622="STATS_ONLY","stats",IF(ROUND(K622/M622,2)=E622,"OK","CHECK")))</f>
        <v/>
      </c>
      <c r="O622" s="3" t="str">
        <f aca="false">TEXT(D622,"yyyy-mm")</f>
        <v>2026-06</v>
      </c>
      <c r="P622" s="13"/>
    </row>
    <row r="623" customFormat="false" ht="15" hidden="false" customHeight="false" outlineLevel="0" collapsed="false">
      <c r="A623" s="5" t="s">
        <v>28</v>
      </c>
      <c r="B623" s="5" t="n">
        <v>9693</v>
      </c>
      <c r="C623" s="5" t="s">
        <v>152</v>
      </c>
      <c r="D623" s="14" t="n">
        <v>46175</v>
      </c>
      <c r="E623" s="15" t="n">
        <v>-3.19</v>
      </c>
      <c r="F623" s="5" t="s">
        <v>305</v>
      </c>
      <c r="G623" s="5" t="s">
        <v>184</v>
      </c>
      <c r="H623" s="5" t="s">
        <v>306</v>
      </c>
      <c r="I623" s="5" t="s">
        <v>218</v>
      </c>
      <c r="J623" s="5"/>
      <c r="K623" s="16"/>
      <c r="L623" s="5"/>
      <c r="M623" s="17"/>
      <c r="N623" s="3" t="str">
        <f aca="false">IF(OR(K623="",M623=""),"",IF(C623="STATS_ONLY","stats",IF(ROUND(K623/M623,2)=E623,"OK","CHECK")))</f>
        <v/>
      </c>
      <c r="O623" s="3" t="str">
        <f aca="false">TEXT(D623,"yyyy-mm")</f>
        <v>2026-06</v>
      </c>
      <c r="P623" s="13"/>
    </row>
    <row r="624" customFormat="false" ht="15" hidden="false" customHeight="false" outlineLevel="0" collapsed="false">
      <c r="A624" s="5" t="s">
        <v>28</v>
      </c>
      <c r="B624" s="5" t="n">
        <v>9656</v>
      </c>
      <c r="C624" s="5" t="s">
        <v>152</v>
      </c>
      <c r="D624" s="14" t="n">
        <v>46177</v>
      </c>
      <c r="E624" s="15" t="n">
        <v>2210</v>
      </c>
      <c r="F624" s="5" t="s">
        <v>309</v>
      </c>
      <c r="G624" s="5" t="s">
        <v>265</v>
      </c>
      <c r="H624" s="5" t="s">
        <v>310</v>
      </c>
      <c r="I624" s="5" t="s">
        <v>311</v>
      </c>
      <c r="J624" s="5"/>
      <c r="K624" s="16"/>
      <c r="L624" s="5"/>
      <c r="M624" s="17"/>
      <c r="N624" s="3" t="str">
        <f aca="false">IF(OR(K624="",M624=""),"",IF(C624="STATS_ONLY","stats",IF(ROUND(K624/M624,2)=E624,"OK","CHECK")))</f>
        <v/>
      </c>
      <c r="O624" s="3" t="str">
        <f aca="false">TEXT(D624,"yyyy-mm")</f>
        <v>2026-06</v>
      </c>
      <c r="P624" s="13"/>
    </row>
    <row r="625" customFormat="false" ht="15" hidden="false" customHeight="false" outlineLevel="0" collapsed="false">
      <c r="A625" s="5" t="s">
        <v>28</v>
      </c>
      <c r="B625" s="5" t="n">
        <v>9694</v>
      </c>
      <c r="C625" s="5" t="s">
        <v>152</v>
      </c>
      <c r="D625" s="14" t="n">
        <v>46177</v>
      </c>
      <c r="E625" s="15" t="n">
        <v>-8.01</v>
      </c>
      <c r="F625" s="5" t="s">
        <v>307</v>
      </c>
      <c r="G625" s="5" t="s">
        <v>184</v>
      </c>
      <c r="H625" s="5" t="s">
        <v>303</v>
      </c>
      <c r="I625" s="5" t="s">
        <v>312</v>
      </c>
      <c r="J625" s="5"/>
      <c r="K625" s="16"/>
      <c r="L625" s="5"/>
      <c r="M625" s="17"/>
      <c r="N625" s="3" t="str">
        <f aca="false">IF(OR(K625="",M625=""),"",IF(C625="STATS_ONLY","stats",IF(ROUND(K625/M625,2)=E625,"OK","CHECK")))</f>
        <v/>
      </c>
      <c r="O625" s="3" t="str">
        <f aca="false">TEXT(D625,"yyyy-mm")</f>
        <v>2026-06</v>
      </c>
      <c r="P625" s="13"/>
    </row>
    <row r="626" customFormat="false" ht="15" hidden="false" customHeight="false" outlineLevel="0" collapsed="false">
      <c r="A626" s="5" t="s">
        <v>28</v>
      </c>
      <c r="B626" s="5" t="n">
        <v>9645</v>
      </c>
      <c r="C626" s="5" t="s">
        <v>152</v>
      </c>
      <c r="D626" s="14" t="n">
        <v>46178</v>
      </c>
      <c r="E626" s="15" t="n">
        <v>-45</v>
      </c>
      <c r="F626" s="5" t="s">
        <v>200</v>
      </c>
      <c r="G626" s="5" t="s">
        <v>163</v>
      </c>
      <c r="H626" s="5" t="s">
        <v>164</v>
      </c>
      <c r="I626" s="5" t="s">
        <v>201</v>
      </c>
      <c r="J626" s="5"/>
      <c r="K626" s="16"/>
      <c r="L626" s="5"/>
      <c r="M626" s="17"/>
      <c r="N626" s="3" t="str">
        <f aca="false">IF(OR(K626="",M626=""),"",IF(C626="STATS_ONLY","stats",IF(ROUND(K626/M626,2)=E626,"OK","CHECK")))</f>
        <v/>
      </c>
      <c r="O626" s="3" t="str">
        <f aca="false">TEXT(D626,"yyyy-mm")</f>
        <v>2026-06</v>
      </c>
      <c r="P626" s="13"/>
    </row>
    <row r="627" customFormat="false" ht="15" hidden="false" customHeight="false" outlineLevel="0" collapsed="false">
      <c r="A627" s="5" t="s">
        <v>28</v>
      </c>
      <c r="B627" s="5" t="n">
        <v>9646</v>
      </c>
      <c r="C627" s="5" t="s">
        <v>213</v>
      </c>
      <c r="D627" s="14" t="n">
        <v>46180</v>
      </c>
      <c r="E627" s="15" t="n">
        <v>-21.78</v>
      </c>
      <c r="F627" s="5" t="s">
        <v>214</v>
      </c>
      <c r="G627" s="5" t="s">
        <v>163</v>
      </c>
      <c r="H627" s="5" t="s">
        <v>164</v>
      </c>
      <c r="I627" s="5" t="s">
        <v>215</v>
      </c>
      <c r="J627" s="5"/>
      <c r="K627" s="16"/>
      <c r="L627" s="5"/>
      <c r="M627" s="17"/>
      <c r="N627" s="3" t="str">
        <f aca="false">IF(OR(K627="",M627=""),"",IF(C627="STATS_ONLY","stats",IF(ROUND(K627/M627,2)=E627,"OK","CHECK")))</f>
        <v/>
      </c>
      <c r="O627" s="3" t="str">
        <f aca="false">TEXT(D627,"yyyy-mm")</f>
        <v>2026-06</v>
      </c>
      <c r="P627" s="13"/>
    </row>
    <row r="628" customFormat="false" ht="15" hidden="false" customHeight="false" outlineLevel="0" collapsed="false">
      <c r="A628" s="5" t="s">
        <v>28</v>
      </c>
      <c r="B628" s="5" t="n">
        <v>9695</v>
      </c>
      <c r="C628" s="5" t="s">
        <v>152</v>
      </c>
      <c r="D628" s="14" t="n">
        <v>46180</v>
      </c>
      <c r="E628" s="15" t="n">
        <v>-32.43</v>
      </c>
      <c r="F628" s="5" t="s">
        <v>314</v>
      </c>
      <c r="G628" s="5" t="s">
        <v>184</v>
      </c>
      <c r="H628" s="5" t="s">
        <v>303</v>
      </c>
      <c r="I628" s="5" t="s">
        <v>312</v>
      </c>
      <c r="J628" s="5"/>
      <c r="K628" s="16"/>
      <c r="L628" s="5"/>
      <c r="M628" s="17"/>
      <c r="N628" s="3" t="str">
        <f aca="false">IF(OR(K628="",M628=""),"",IF(C628="STATS_ONLY","stats",IF(ROUND(K628/M628,2)=E628,"OK","CHECK")))</f>
        <v/>
      </c>
      <c r="O628" s="3" t="str">
        <f aca="false">TEXT(D628,"yyyy-mm")</f>
        <v>2026-06</v>
      </c>
      <c r="P628" s="13"/>
    </row>
    <row r="629" customFormat="false" ht="15" hidden="false" customHeight="false" outlineLevel="0" collapsed="false">
      <c r="A629" s="5" t="s">
        <v>28</v>
      </c>
      <c r="B629" s="5" t="n">
        <v>9647</v>
      </c>
      <c r="C629" s="5" t="s">
        <v>152</v>
      </c>
      <c r="D629" s="14" t="n">
        <v>46181</v>
      </c>
      <c r="E629" s="15" t="n">
        <v>-2.99</v>
      </c>
      <c r="F629" s="5" t="s">
        <v>219</v>
      </c>
      <c r="G629" s="5" t="s">
        <v>163</v>
      </c>
      <c r="H629" s="5" t="s">
        <v>164</v>
      </c>
      <c r="I629" s="5" t="s">
        <v>220</v>
      </c>
      <c r="J629" s="5"/>
      <c r="K629" s="16"/>
      <c r="L629" s="5"/>
      <c r="M629" s="17"/>
      <c r="N629" s="3" t="str">
        <f aca="false">IF(OR(K629="",M629=""),"",IF(C629="STATS_ONLY","stats",IF(ROUND(K629/M629,2)=E629,"OK","CHECK")))</f>
        <v/>
      </c>
      <c r="O629" s="3" t="str">
        <f aca="false">TEXT(D629,"yyyy-mm")</f>
        <v>2026-06</v>
      </c>
      <c r="P629" s="13"/>
    </row>
    <row r="630" customFormat="false" ht="15" hidden="false" customHeight="false" outlineLevel="0" collapsed="false">
      <c r="A630" s="5" t="s">
        <v>28</v>
      </c>
      <c r="B630" s="5" t="n">
        <v>9696</v>
      </c>
      <c r="C630" s="5" t="s">
        <v>152</v>
      </c>
      <c r="D630" s="14" t="n">
        <v>46181</v>
      </c>
      <c r="E630" s="15" t="n">
        <v>-2.89</v>
      </c>
      <c r="F630" s="5" t="s">
        <v>308</v>
      </c>
      <c r="G630" s="5" t="s">
        <v>184</v>
      </c>
      <c r="H630" s="5" t="s">
        <v>306</v>
      </c>
      <c r="I630" s="5" t="s">
        <v>218</v>
      </c>
      <c r="J630" s="5"/>
      <c r="K630" s="16"/>
      <c r="L630" s="5"/>
      <c r="M630" s="17"/>
      <c r="N630" s="3" t="str">
        <f aca="false">IF(OR(K630="",M630=""),"",IF(C630="STATS_ONLY","stats",IF(ROUND(K630/M630,2)=E630,"OK","CHECK")))</f>
        <v/>
      </c>
      <c r="O630" s="3" t="str">
        <f aca="false">TEXT(D630,"yyyy-mm")</f>
        <v>2026-06</v>
      </c>
      <c r="P630" s="13"/>
    </row>
    <row r="631" customFormat="false" ht="15" hidden="false" customHeight="false" outlineLevel="0" collapsed="false">
      <c r="A631" s="5" t="s">
        <v>28</v>
      </c>
      <c r="B631" s="5" t="n">
        <v>9697</v>
      </c>
      <c r="C631" s="5" t="s">
        <v>152</v>
      </c>
      <c r="D631" s="14" t="n">
        <v>46184</v>
      </c>
      <c r="E631" s="15" t="n">
        <v>-1.85</v>
      </c>
      <c r="F631" s="5" t="s">
        <v>305</v>
      </c>
      <c r="G631" s="5" t="s">
        <v>184</v>
      </c>
      <c r="H631" s="5" t="s">
        <v>306</v>
      </c>
      <c r="I631" s="5" t="s">
        <v>218</v>
      </c>
      <c r="J631" s="5"/>
      <c r="K631" s="16"/>
      <c r="L631" s="5"/>
      <c r="M631" s="17"/>
      <c r="N631" s="3" t="str">
        <f aca="false">IF(OR(K631="",M631=""),"",IF(C631="STATS_ONLY","stats",IF(ROUND(K631/M631,2)=E631,"OK","CHECK")))</f>
        <v/>
      </c>
      <c r="O631" s="3" t="str">
        <f aca="false">TEXT(D631,"yyyy-mm")</f>
        <v>2026-06</v>
      </c>
      <c r="P631" s="13"/>
    </row>
    <row r="632" customFormat="false" ht="15" hidden="false" customHeight="false" outlineLevel="0" collapsed="false">
      <c r="A632" s="5" t="s">
        <v>28</v>
      </c>
      <c r="B632" s="5" t="n">
        <v>9698</v>
      </c>
      <c r="C632" s="5" t="s">
        <v>152</v>
      </c>
      <c r="D632" s="14" t="n">
        <v>46185</v>
      </c>
      <c r="E632" s="15" t="n">
        <v>-2.77</v>
      </c>
      <c r="F632" s="5" t="s">
        <v>305</v>
      </c>
      <c r="G632" s="5" t="s">
        <v>184</v>
      </c>
      <c r="H632" s="5" t="s">
        <v>306</v>
      </c>
      <c r="I632" s="5" t="s">
        <v>218</v>
      </c>
      <c r="J632" s="5"/>
      <c r="K632" s="16"/>
      <c r="L632" s="5"/>
      <c r="M632" s="17"/>
      <c r="N632" s="3" t="str">
        <f aca="false">IF(OR(K632="",M632=""),"",IF(C632="STATS_ONLY","stats",IF(ROUND(K632/M632,2)=E632,"OK","CHECK")))</f>
        <v/>
      </c>
      <c r="O632" s="3" t="str">
        <f aca="false">TEXT(D632,"yyyy-mm")</f>
        <v>2026-06</v>
      </c>
      <c r="P632" s="13"/>
    </row>
    <row r="633" customFormat="false" ht="15" hidden="false" customHeight="false" outlineLevel="0" collapsed="false">
      <c r="A633" s="5" t="s">
        <v>28</v>
      </c>
      <c r="B633" s="5" t="n">
        <v>9699</v>
      </c>
      <c r="C633" s="5" t="s">
        <v>152</v>
      </c>
      <c r="D633" s="14" t="n">
        <v>46186</v>
      </c>
      <c r="E633" s="15" t="n">
        <v>-38.11</v>
      </c>
      <c r="F633" s="5" t="s">
        <v>302</v>
      </c>
      <c r="G633" s="5" t="s">
        <v>184</v>
      </c>
      <c r="H633" s="5" t="s">
        <v>303</v>
      </c>
      <c r="I633" s="5" t="s">
        <v>312</v>
      </c>
      <c r="J633" s="5"/>
      <c r="K633" s="16"/>
      <c r="L633" s="5"/>
      <c r="M633" s="17"/>
      <c r="N633" s="3" t="str">
        <f aca="false">IF(OR(K633="",M633=""),"",IF(C633="STATS_ONLY","stats",IF(ROUND(K633/M633,2)=E633,"OK","CHECK")))</f>
        <v/>
      </c>
      <c r="O633" s="3" t="str">
        <f aca="false">TEXT(D633,"yyyy-mm")</f>
        <v>2026-06</v>
      </c>
      <c r="P633" s="13"/>
    </row>
    <row r="634" customFormat="false" ht="15" hidden="false" customHeight="false" outlineLevel="0" collapsed="false">
      <c r="A634" s="5" t="s">
        <v>28</v>
      </c>
      <c r="B634" s="5" t="n">
        <v>9700</v>
      </c>
      <c r="C634" s="5" t="s">
        <v>152</v>
      </c>
      <c r="D634" s="14" t="n">
        <v>46190</v>
      </c>
      <c r="E634" s="15" t="n">
        <v>-11.5</v>
      </c>
      <c r="F634" s="5" t="s">
        <v>302</v>
      </c>
      <c r="G634" s="5" t="s">
        <v>184</v>
      </c>
      <c r="H634" s="5" t="s">
        <v>303</v>
      </c>
      <c r="I634" s="5" t="s">
        <v>312</v>
      </c>
      <c r="J634" s="5"/>
      <c r="K634" s="16"/>
      <c r="L634" s="5"/>
      <c r="M634" s="17"/>
      <c r="N634" s="3" t="str">
        <f aca="false">IF(OR(K634="",M634=""),"",IF(C634="STATS_ONLY","stats",IF(ROUND(K634/M634,2)=E634,"OK","CHECK")))</f>
        <v/>
      </c>
      <c r="O634" s="3" t="str">
        <f aca="false">TEXT(D634,"yyyy-mm")</f>
        <v>2026-06</v>
      </c>
      <c r="P634" s="13"/>
    </row>
    <row r="635" customFormat="false" ht="15" hidden="false" customHeight="false" outlineLevel="0" collapsed="false">
      <c r="A635" s="5" t="s">
        <v>28</v>
      </c>
      <c r="B635" s="5" t="n">
        <v>9701</v>
      </c>
      <c r="C635" s="5" t="s">
        <v>152</v>
      </c>
      <c r="D635" s="14" t="n">
        <v>46190</v>
      </c>
      <c r="E635" s="15" t="n">
        <v>-7.41</v>
      </c>
      <c r="F635" s="5" t="s">
        <v>317</v>
      </c>
      <c r="G635" s="5" t="s">
        <v>184</v>
      </c>
      <c r="H635" s="5" t="s">
        <v>185</v>
      </c>
      <c r="I635" s="5" t="s">
        <v>186</v>
      </c>
      <c r="J635" s="5"/>
      <c r="K635" s="16"/>
      <c r="L635" s="5"/>
      <c r="M635" s="17"/>
      <c r="N635" s="3" t="str">
        <f aca="false">IF(OR(K635="",M635=""),"",IF(C635="STATS_ONLY","stats",IF(ROUND(K635/M635,2)=E635,"OK","CHECK")))</f>
        <v/>
      </c>
      <c r="O635" s="3" t="str">
        <f aca="false">TEXT(D635,"yyyy-mm")</f>
        <v>2026-06</v>
      </c>
      <c r="P635" s="13"/>
    </row>
    <row r="636" customFormat="false" ht="15" hidden="false" customHeight="false" outlineLevel="0" collapsed="false">
      <c r="A636" s="5" t="s">
        <v>28</v>
      </c>
      <c r="B636" s="5" t="n">
        <v>9702</v>
      </c>
      <c r="C636" s="5" t="s">
        <v>152</v>
      </c>
      <c r="D636" s="14" t="n">
        <v>46192</v>
      </c>
      <c r="E636" s="15" t="n">
        <v>-2.52</v>
      </c>
      <c r="F636" s="5" t="s">
        <v>316</v>
      </c>
      <c r="G636" s="5" t="s">
        <v>184</v>
      </c>
      <c r="H636" s="5" t="s">
        <v>306</v>
      </c>
      <c r="I636" s="5" t="s">
        <v>218</v>
      </c>
      <c r="J636" s="5"/>
      <c r="K636" s="16"/>
      <c r="L636" s="5"/>
      <c r="M636" s="17"/>
      <c r="N636" s="3" t="str">
        <f aca="false">IF(OR(K636="",M636=""),"",IF(C636="STATS_ONLY","stats",IF(ROUND(K636/M636,2)=E636,"OK","CHECK")))</f>
        <v/>
      </c>
      <c r="O636" s="3" t="str">
        <f aca="false">TEXT(D636,"yyyy-mm")</f>
        <v>2026-06</v>
      </c>
      <c r="P636" s="13"/>
    </row>
    <row r="637" customFormat="false" ht="15" hidden="false" customHeight="false" outlineLevel="0" collapsed="false">
      <c r="A637" s="5" t="s">
        <v>28</v>
      </c>
      <c r="B637" s="5" t="n">
        <v>9703</v>
      </c>
      <c r="C637" s="5" t="s">
        <v>152</v>
      </c>
      <c r="D637" s="14" t="n">
        <v>46192</v>
      </c>
      <c r="E637" s="15" t="n">
        <v>-4.96</v>
      </c>
      <c r="F637" s="5" t="s">
        <v>317</v>
      </c>
      <c r="G637" s="5" t="s">
        <v>184</v>
      </c>
      <c r="H637" s="5" t="s">
        <v>185</v>
      </c>
      <c r="I637" s="5" t="s">
        <v>186</v>
      </c>
      <c r="J637" s="5"/>
      <c r="K637" s="16"/>
      <c r="L637" s="5"/>
      <c r="M637" s="17"/>
      <c r="N637" s="3" t="str">
        <f aca="false">IF(OR(K637="",M637=""),"",IF(C637="STATS_ONLY","stats",IF(ROUND(K637/M637,2)=E637,"OK","CHECK")))</f>
        <v/>
      </c>
      <c r="O637" s="3" t="str">
        <f aca="false">TEXT(D637,"yyyy-mm")</f>
        <v>2026-06</v>
      </c>
      <c r="P637" s="13"/>
    </row>
    <row r="638" customFormat="false" ht="15" hidden="false" customHeight="false" outlineLevel="0" collapsed="false">
      <c r="A638" s="5" t="s">
        <v>28</v>
      </c>
      <c r="B638" s="5" t="n">
        <v>9704</v>
      </c>
      <c r="C638" s="5" t="s">
        <v>171</v>
      </c>
      <c r="D638" s="14" t="n">
        <v>46192</v>
      </c>
      <c r="E638" s="15" t="n">
        <v>-45.81</v>
      </c>
      <c r="F638" s="5" t="s">
        <v>300</v>
      </c>
      <c r="G638" s="5" t="s">
        <v>184</v>
      </c>
      <c r="H638" s="5" t="s">
        <v>301</v>
      </c>
      <c r="I638" s="5" t="s">
        <v>206</v>
      </c>
      <c r="J638" s="5"/>
      <c r="K638" s="16"/>
      <c r="L638" s="5"/>
      <c r="M638" s="17"/>
      <c r="N638" s="3" t="str">
        <f aca="false">IF(OR(K638="",M638=""),"",IF(C638="STATS_ONLY","stats",IF(ROUND(K638/M638,2)=E638,"OK","CHECK")))</f>
        <v/>
      </c>
      <c r="O638" s="3" t="str">
        <f aca="false">TEXT(D638,"yyyy-mm")</f>
        <v>2026-06</v>
      </c>
      <c r="P638" s="13"/>
    </row>
    <row r="639" customFormat="false" ht="15" hidden="false" customHeight="false" outlineLevel="0" collapsed="false">
      <c r="A639" s="5" t="s">
        <v>28</v>
      </c>
      <c r="B639" s="5" t="n">
        <v>9649</v>
      </c>
      <c r="C639" s="5" t="s">
        <v>152</v>
      </c>
      <c r="D639" s="14" t="n">
        <v>46193</v>
      </c>
      <c r="E639" s="15" t="n">
        <v>-152</v>
      </c>
      <c r="F639" s="5" t="s">
        <v>243</v>
      </c>
      <c r="G639" s="5" t="s">
        <v>163</v>
      </c>
      <c r="H639" s="5" t="s">
        <v>164</v>
      </c>
      <c r="I639" s="5" t="s">
        <v>244</v>
      </c>
      <c r="J639" s="5"/>
      <c r="K639" s="16"/>
      <c r="L639" s="5"/>
      <c r="M639" s="17"/>
      <c r="N639" s="3" t="str">
        <f aca="false">IF(OR(K639="",M639=""),"",IF(C639="STATS_ONLY","stats",IF(ROUND(K639/M639,2)=E639,"OK","CHECK")))</f>
        <v/>
      </c>
      <c r="O639" s="3" t="str">
        <f aca="false">TEXT(D639,"yyyy-mm")</f>
        <v>2026-06</v>
      </c>
      <c r="P639" s="13"/>
    </row>
    <row r="640" customFormat="false" ht="15" hidden="false" customHeight="false" outlineLevel="0" collapsed="false">
      <c r="A640" s="5" t="s">
        <v>28</v>
      </c>
      <c r="B640" s="5" t="n">
        <v>9650</v>
      </c>
      <c r="C640" s="5" t="s">
        <v>152</v>
      </c>
      <c r="D640" s="14" t="n">
        <v>46193</v>
      </c>
      <c r="E640" s="15" t="n">
        <v>131</v>
      </c>
      <c r="F640" s="5" t="s">
        <v>245</v>
      </c>
      <c r="G640" s="5" t="s">
        <v>163</v>
      </c>
      <c r="H640" s="5" t="s">
        <v>164</v>
      </c>
      <c r="I640" s="5" t="s">
        <v>244</v>
      </c>
      <c r="J640" s="5"/>
      <c r="K640" s="16"/>
      <c r="L640" s="5"/>
      <c r="M640" s="17"/>
      <c r="N640" s="3" t="str">
        <f aca="false">IF(OR(K640="",M640=""),"",IF(C640="STATS_ONLY","stats",IF(ROUND(K640/M640,2)=E640,"OK","CHECK")))</f>
        <v/>
      </c>
      <c r="O640" s="3" t="str">
        <f aca="false">TEXT(D640,"yyyy-mm")</f>
        <v>2026-06</v>
      </c>
      <c r="P640" s="13"/>
    </row>
    <row r="641" customFormat="false" ht="15" hidden="false" customHeight="false" outlineLevel="0" collapsed="false">
      <c r="A641" s="5" t="s">
        <v>28</v>
      </c>
      <c r="B641" s="5" t="n">
        <v>9705</v>
      </c>
      <c r="C641" s="5" t="s">
        <v>152</v>
      </c>
      <c r="D641" s="14" t="n">
        <v>46193</v>
      </c>
      <c r="E641" s="15" t="n">
        <v>-2.28</v>
      </c>
      <c r="F641" s="5" t="s">
        <v>305</v>
      </c>
      <c r="G641" s="5" t="s">
        <v>184</v>
      </c>
      <c r="H641" s="5" t="s">
        <v>306</v>
      </c>
      <c r="I641" s="5" t="s">
        <v>218</v>
      </c>
      <c r="J641" s="5"/>
      <c r="K641" s="16"/>
      <c r="L641" s="5"/>
      <c r="M641" s="17"/>
      <c r="N641" s="3" t="str">
        <f aca="false">IF(OR(K641="",M641=""),"",IF(C641="STATS_ONLY","stats",IF(ROUND(K641/M641,2)=E641,"OK","CHECK")))</f>
        <v/>
      </c>
      <c r="O641" s="3" t="str">
        <f aca="false">TEXT(D641,"yyyy-mm")</f>
        <v>2026-06</v>
      </c>
      <c r="P641" s="13"/>
    </row>
    <row r="642" customFormat="false" ht="15" hidden="false" customHeight="false" outlineLevel="0" collapsed="false">
      <c r="A642" s="5" t="s">
        <v>28</v>
      </c>
      <c r="B642" s="5" t="n">
        <v>9648</v>
      </c>
      <c r="C642" s="5" t="s">
        <v>152</v>
      </c>
      <c r="D642" s="14" t="n">
        <v>46196</v>
      </c>
      <c r="E642" s="15" t="n">
        <v>-7</v>
      </c>
      <c r="F642" s="5" t="s">
        <v>249</v>
      </c>
      <c r="G642" s="5" t="s">
        <v>163</v>
      </c>
      <c r="H642" s="5" t="s">
        <v>164</v>
      </c>
      <c r="I642" s="5" t="s">
        <v>250</v>
      </c>
      <c r="J642" s="5"/>
      <c r="K642" s="16"/>
      <c r="L642" s="5"/>
      <c r="M642" s="17"/>
      <c r="N642" s="3" t="str">
        <f aca="false">IF(OR(K642="",M642=""),"",IF(C642="STATS_ONLY","stats",IF(ROUND(K642/M642,2)=E642,"OK","CHECK")))</f>
        <v/>
      </c>
      <c r="O642" s="3" t="str">
        <f aca="false">TEXT(D642,"yyyy-mm")</f>
        <v>2026-06</v>
      </c>
      <c r="P642" s="13"/>
    </row>
    <row r="643" customFormat="false" ht="15" hidden="false" customHeight="false" outlineLevel="0" collapsed="false">
      <c r="A643" s="5" t="s">
        <v>28</v>
      </c>
      <c r="B643" s="5" t="n">
        <v>9706</v>
      </c>
      <c r="C643" s="5" t="s">
        <v>152</v>
      </c>
      <c r="D643" s="14" t="n">
        <v>46199</v>
      </c>
      <c r="E643" s="15" t="n">
        <v>-17.81</v>
      </c>
      <c r="F643" s="5" t="s">
        <v>314</v>
      </c>
      <c r="G643" s="5" t="s">
        <v>184</v>
      </c>
      <c r="H643" s="5" t="s">
        <v>303</v>
      </c>
      <c r="I643" s="5" t="s">
        <v>312</v>
      </c>
      <c r="J643" s="5"/>
      <c r="K643" s="16"/>
      <c r="L643" s="5"/>
      <c r="M643" s="17"/>
      <c r="N643" s="3" t="str">
        <f aca="false">IF(OR(K643="",M643=""),"",IF(C643="STATS_ONLY","stats",IF(ROUND(K643/M643,2)=E643,"OK","CHECK")))</f>
        <v/>
      </c>
      <c r="O643" s="3" t="str">
        <f aca="false">TEXT(D643,"yyyy-mm")</f>
        <v>2026-06</v>
      </c>
      <c r="P643" s="13"/>
    </row>
    <row r="644" customFormat="false" ht="15" hidden="false" customHeight="false" outlineLevel="0" collapsed="false">
      <c r="A644" s="5" t="s">
        <v>28</v>
      </c>
      <c r="B644" s="5" t="n">
        <v>9709</v>
      </c>
      <c r="C644" s="5" t="s">
        <v>152</v>
      </c>
      <c r="D644" s="14" t="n">
        <v>46201</v>
      </c>
      <c r="E644" s="15" t="n">
        <v>-45.81</v>
      </c>
      <c r="F644" s="5" t="s">
        <v>319</v>
      </c>
      <c r="G644" s="5" t="s">
        <v>167</v>
      </c>
      <c r="H644" s="5" t="s">
        <v>167</v>
      </c>
      <c r="I644" s="5" t="s">
        <v>168</v>
      </c>
      <c r="J644" s="5"/>
      <c r="K644" s="16"/>
      <c r="L644" s="5"/>
      <c r="M644" s="17"/>
      <c r="N644" s="3" t="str">
        <f aca="false">IF(OR(K644="",M644=""),"",IF(C644="STATS_ONLY","stats",IF(ROUND(K644/M644,2)=E644,"OK","CHECK")))</f>
        <v/>
      </c>
      <c r="O644" s="3" t="str">
        <f aca="false">TEXT(D644,"yyyy-mm")</f>
        <v>2026-06</v>
      </c>
      <c r="P644" s="13" t="s">
        <v>169</v>
      </c>
    </row>
    <row r="645" customFormat="false" ht="15" hidden="false" customHeight="false" outlineLevel="0" collapsed="false">
      <c r="A645" s="5" t="s">
        <v>28</v>
      </c>
      <c r="B645" s="5" t="n">
        <v>9709</v>
      </c>
      <c r="C645" s="5" t="s">
        <v>171</v>
      </c>
      <c r="D645" s="14" t="n">
        <v>46201</v>
      </c>
      <c r="E645" s="15" t="n">
        <v>45.81</v>
      </c>
      <c r="F645" s="5" t="s">
        <v>319</v>
      </c>
      <c r="G645" s="5" t="s">
        <v>167</v>
      </c>
      <c r="H645" s="5" t="s">
        <v>167</v>
      </c>
      <c r="I645" s="5" t="s">
        <v>168</v>
      </c>
      <c r="J645" s="5"/>
      <c r="K645" s="16"/>
      <c r="L645" s="5"/>
      <c r="M645" s="17"/>
      <c r="N645" s="3" t="str">
        <f aca="false">IF(OR(K645="",M645=""),"",IF(C645="STATS_ONLY","stats",IF(ROUND(K645/M645,2)=E645,"OK","CHECK")))</f>
        <v/>
      </c>
      <c r="O645" s="3" t="str">
        <f aca="false">TEXT(D645,"yyyy-mm")</f>
        <v>2026-06</v>
      </c>
      <c r="P645" s="13" t="s">
        <v>170</v>
      </c>
    </row>
    <row r="646" customFormat="false" ht="15" hidden="false" customHeight="false" outlineLevel="0" collapsed="false">
      <c r="A646" s="5" t="s">
        <v>28</v>
      </c>
      <c r="B646" s="5" t="n">
        <v>9707</v>
      </c>
      <c r="C646" s="5" t="s">
        <v>152</v>
      </c>
      <c r="D646" s="14" t="n">
        <v>46202</v>
      </c>
      <c r="E646" s="15" t="n">
        <v>-28.29</v>
      </c>
      <c r="F646" s="5" t="s">
        <v>307</v>
      </c>
      <c r="G646" s="5" t="s">
        <v>184</v>
      </c>
      <c r="H646" s="5" t="s">
        <v>303</v>
      </c>
      <c r="I646" s="5" t="s">
        <v>312</v>
      </c>
      <c r="J646" s="5"/>
      <c r="K646" s="16"/>
      <c r="L646" s="5"/>
      <c r="M646" s="17"/>
      <c r="N646" s="3" t="str">
        <f aca="false">IF(OR(K646="",M646=""),"",IF(C646="STATS_ONLY","stats",IF(ROUND(K646/M646,2)=E646,"OK","CHECK")))</f>
        <v/>
      </c>
      <c r="O646" s="3" t="str">
        <f aca="false">TEXT(D646,"yyyy-mm")</f>
        <v>2026-06</v>
      </c>
      <c r="P646" s="13"/>
    </row>
    <row r="647" customFormat="false" ht="15" hidden="false" customHeight="false" outlineLevel="0" collapsed="false">
      <c r="A647" s="5" t="s">
        <v>28</v>
      </c>
      <c r="B647" s="5" t="n">
        <v>9708</v>
      </c>
      <c r="C647" s="5" t="s">
        <v>152</v>
      </c>
      <c r="D647" s="14" t="n">
        <v>46202</v>
      </c>
      <c r="E647" s="15" t="n">
        <v>-3.36</v>
      </c>
      <c r="F647" s="5" t="s">
        <v>308</v>
      </c>
      <c r="G647" s="5" t="s">
        <v>184</v>
      </c>
      <c r="H647" s="5" t="s">
        <v>306</v>
      </c>
      <c r="I647" s="5" t="s">
        <v>218</v>
      </c>
      <c r="J647" s="5"/>
      <c r="K647" s="16"/>
      <c r="L647" s="5"/>
      <c r="M647" s="17"/>
      <c r="N647" s="3" t="str">
        <f aca="false">IF(OR(K647="",M647=""),"",IF(C647="STATS_ONLY","stats",IF(ROUND(K647/M647,2)=E647,"OK","CHECK")))</f>
        <v/>
      </c>
      <c r="O647" s="3" t="str">
        <f aca="false">TEXT(D647,"yyyy-mm")</f>
        <v>2026-06</v>
      </c>
      <c r="P647" s="13"/>
    </row>
    <row r="648" customFormat="false" ht="15" hidden="false" customHeight="false" outlineLevel="0" collapsed="false">
      <c r="A648" s="5" t="s">
        <v>32</v>
      </c>
      <c r="B648" s="5" t="n">
        <v>101</v>
      </c>
      <c r="C648" s="5" t="s">
        <v>152</v>
      </c>
      <c r="D648" s="14" t="n">
        <v>45962</v>
      </c>
      <c r="E648" s="15" t="n">
        <v>-300</v>
      </c>
      <c r="F648" s="5" t="s">
        <v>320</v>
      </c>
      <c r="G648" s="5" t="s">
        <v>167</v>
      </c>
      <c r="H648" s="5" t="s">
        <v>167</v>
      </c>
      <c r="I648" s="5" t="s">
        <v>168</v>
      </c>
      <c r="J648" s="5"/>
      <c r="K648" s="16"/>
      <c r="L648" s="5"/>
      <c r="M648" s="17"/>
      <c r="N648" s="3" t="str">
        <f aca="false">IF(OR(K648="",M648=""),"",IF(C648="STATS_ONLY","stats",IF(ROUND(K648/M648,2)=E648,"OK","CHECK")))</f>
        <v/>
      </c>
      <c r="O648" s="3" t="str">
        <f aca="false">TEXT(D648,"yyyy-mm")</f>
        <v>2025-11</v>
      </c>
      <c r="P648" s="13" t="s">
        <v>169</v>
      </c>
    </row>
    <row r="649" customFormat="false" ht="15" hidden="false" customHeight="false" outlineLevel="0" collapsed="false">
      <c r="A649" s="5" t="s">
        <v>32</v>
      </c>
      <c r="B649" s="5" t="n">
        <v>101</v>
      </c>
      <c r="C649" s="5" t="s">
        <v>157</v>
      </c>
      <c r="D649" s="14" t="n">
        <v>45962</v>
      </c>
      <c r="E649" s="15" t="n">
        <v>300</v>
      </c>
      <c r="F649" s="5" t="s">
        <v>320</v>
      </c>
      <c r="G649" s="5" t="s">
        <v>167</v>
      </c>
      <c r="H649" s="5" t="s">
        <v>167</v>
      </c>
      <c r="I649" s="5" t="s">
        <v>168</v>
      </c>
      <c r="J649" s="5"/>
      <c r="K649" s="16"/>
      <c r="L649" s="5"/>
      <c r="M649" s="17"/>
      <c r="N649" s="3" t="str">
        <f aca="false">IF(OR(K649="",M649=""),"",IF(C649="STATS_ONLY","stats",IF(ROUND(K649/M649,2)=E649,"OK","CHECK")))</f>
        <v/>
      </c>
      <c r="O649" s="3" t="str">
        <f aca="false">TEXT(D649,"yyyy-mm")</f>
        <v>2025-11</v>
      </c>
      <c r="P649" s="13" t="s">
        <v>170</v>
      </c>
    </row>
    <row r="650" customFormat="false" ht="15" hidden="false" customHeight="false" outlineLevel="0" collapsed="false">
      <c r="A650" s="5" t="s">
        <v>32</v>
      </c>
      <c r="B650" s="5" t="n">
        <v>102</v>
      </c>
      <c r="C650" s="5" t="s">
        <v>152</v>
      </c>
      <c r="D650" s="14" t="n">
        <v>45992</v>
      </c>
      <c r="E650" s="15" t="n">
        <v>-100</v>
      </c>
      <c r="F650" s="5" t="s">
        <v>166</v>
      </c>
      <c r="G650" s="5" t="s">
        <v>167</v>
      </c>
      <c r="H650" s="5" t="s">
        <v>167</v>
      </c>
      <c r="I650" s="5" t="s">
        <v>168</v>
      </c>
      <c r="J650" s="5"/>
      <c r="K650" s="16"/>
      <c r="L650" s="5"/>
      <c r="M650" s="17"/>
      <c r="N650" s="3" t="str">
        <f aca="false">IF(OR(K650="",M650=""),"",IF(C650="STATS_ONLY","stats",IF(ROUND(K650/M650,2)=E650,"OK","CHECK")))</f>
        <v/>
      </c>
      <c r="O650" s="3" t="str">
        <f aca="false">TEXT(D650,"yyyy-mm")</f>
        <v>2025-12</v>
      </c>
      <c r="P650" s="13" t="s">
        <v>169</v>
      </c>
    </row>
    <row r="651" customFormat="false" ht="15" hidden="false" customHeight="false" outlineLevel="0" collapsed="false">
      <c r="A651" s="5" t="s">
        <v>32</v>
      </c>
      <c r="B651" s="5" t="n">
        <v>102</v>
      </c>
      <c r="C651" s="5" t="s">
        <v>158</v>
      </c>
      <c r="D651" s="14" t="n">
        <v>45992</v>
      </c>
      <c r="E651" s="15" t="n">
        <v>100</v>
      </c>
      <c r="F651" s="5" t="s">
        <v>166</v>
      </c>
      <c r="G651" s="5" t="s">
        <v>167</v>
      </c>
      <c r="H651" s="5" t="s">
        <v>167</v>
      </c>
      <c r="I651" s="5" t="s">
        <v>168</v>
      </c>
      <c r="J651" s="5"/>
      <c r="K651" s="16"/>
      <c r="L651" s="5"/>
      <c r="M651" s="17"/>
      <c r="N651" s="3" t="str">
        <f aca="false">IF(OR(K651="",M651=""),"",IF(C651="STATS_ONLY","stats",IF(ROUND(K651/M651,2)=E651,"OK","CHECK")))</f>
        <v/>
      </c>
      <c r="O651" s="3" t="str">
        <f aca="false">TEXT(D651,"yyyy-mm")</f>
        <v>2025-12</v>
      </c>
      <c r="P651" s="13" t="s">
        <v>170</v>
      </c>
    </row>
    <row r="652" customFormat="false" ht="15" hidden="false" customHeight="false" outlineLevel="0" collapsed="false">
      <c r="A652" s="5" t="s">
        <v>36</v>
      </c>
      <c r="B652" s="5" t="n">
        <v>201</v>
      </c>
      <c r="C652" s="5" t="s">
        <v>152</v>
      </c>
      <c r="D652" s="14" t="n">
        <v>45964</v>
      </c>
      <c r="E652" s="15" t="n">
        <v>-100</v>
      </c>
      <c r="F652" s="5" t="s">
        <v>321</v>
      </c>
      <c r="G652" s="5" t="s">
        <v>167</v>
      </c>
      <c r="H652" s="5" t="s">
        <v>167</v>
      </c>
      <c r="I652" s="5" t="s">
        <v>168</v>
      </c>
      <c r="J652" s="5"/>
      <c r="K652" s="16"/>
      <c r="L652" s="5"/>
      <c r="M652" s="17"/>
      <c r="N652" s="3" t="str">
        <f aca="false">IF(OR(K652="",M652=""),"",IF(C652="STATS_ONLY","stats",IF(ROUND(K652/M652,2)=E652,"OK","CHECK")))</f>
        <v/>
      </c>
      <c r="O652" s="3" t="str">
        <f aca="false">TEXT(D652,"yyyy-mm")</f>
        <v>2025-11</v>
      </c>
      <c r="P652" s="13" t="s">
        <v>169</v>
      </c>
    </row>
    <row r="653" customFormat="false" ht="15" hidden="false" customHeight="false" outlineLevel="0" collapsed="false">
      <c r="A653" s="5" t="s">
        <v>36</v>
      </c>
      <c r="B653" s="5" t="n">
        <v>201</v>
      </c>
      <c r="C653" s="5" t="s">
        <v>159</v>
      </c>
      <c r="D653" s="14" t="n">
        <v>45964</v>
      </c>
      <c r="E653" s="15" t="n">
        <v>100</v>
      </c>
      <c r="F653" s="5" t="s">
        <v>321</v>
      </c>
      <c r="G653" s="5" t="s">
        <v>167</v>
      </c>
      <c r="H653" s="5" t="s">
        <v>167</v>
      </c>
      <c r="I653" s="5" t="s">
        <v>168</v>
      </c>
      <c r="J653" s="5"/>
      <c r="K653" s="16"/>
      <c r="L653" s="5"/>
      <c r="M653" s="17"/>
      <c r="N653" s="3" t="str">
        <f aca="false">IF(OR(K653="",M653=""),"",IF(C653="STATS_ONLY","stats",IF(ROUND(K653/M653,2)=E653,"OK","CHECK")))</f>
        <v/>
      </c>
      <c r="O653" s="3" t="str">
        <f aca="false">TEXT(D653,"yyyy-mm")</f>
        <v>2025-11</v>
      </c>
      <c r="P653" s="13" t="s">
        <v>170</v>
      </c>
    </row>
    <row r="654" customFormat="false" ht="15" hidden="false" customHeight="false" outlineLevel="0" collapsed="false">
      <c r="A654" s="5" t="s">
        <v>39</v>
      </c>
      <c r="B654" s="5" t="n">
        <v>301</v>
      </c>
      <c r="C654" s="5" t="s">
        <v>152</v>
      </c>
      <c r="D654" s="14" t="n">
        <v>45966</v>
      </c>
      <c r="E654" s="15" t="n">
        <v>-277.7</v>
      </c>
      <c r="F654" s="5" t="s">
        <v>322</v>
      </c>
      <c r="G654" s="5" t="s">
        <v>167</v>
      </c>
      <c r="H654" s="5" t="s">
        <v>167</v>
      </c>
      <c r="I654" s="5" t="s">
        <v>168</v>
      </c>
      <c r="J654" s="5"/>
      <c r="K654" s="16"/>
      <c r="L654" s="5"/>
      <c r="M654" s="17"/>
      <c r="N654" s="3" t="str">
        <f aca="false">IF(OR(K654="",M654=""),"",IF(C654="STATS_ONLY","stats",IF(ROUND(K654/M654,2)=E654,"OK","CHECK")))</f>
        <v/>
      </c>
      <c r="O654" s="3" t="str">
        <f aca="false">TEXT(D654,"yyyy-mm")</f>
        <v>2025-11</v>
      </c>
      <c r="P654" s="13" t="s">
        <v>169</v>
      </c>
    </row>
    <row r="655" customFormat="false" ht="15" hidden="false" customHeight="false" outlineLevel="0" collapsed="false">
      <c r="A655" s="5" t="s">
        <v>39</v>
      </c>
      <c r="B655" s="5" t="n">
        <v>301</v>
      </c>
      <c r="C655" s="5" t="s">
        <v>187</v>
      </c>
      <c r="D655" s="14" t="n">
        <v>45966</v>
      </c>
      <c r="E655" s="15" t="n">
        <v>277.7</v>
      </c>
      <c r="F655" s="5" t="s">
        <v>322</v>
      </c>
      <c r="G655" s="5" t="s">
        <v>167</v>
      </c>
      <c r="H655" s="5" t="s">
        <v>167</v>
      </c>
      <c r="I655" s="5" t="s">
        <v>168</v>
      </c>
      <c r="J655" s="5" t="s">
        <v>203</v>
      </c>
      <c r="K655" s="16" t="n">
        <v>10250</v>
      </c>
      <c r="L655" s="5" t="s">
        <v>192</v>
      </c>
      <c r="M655" s="18" t="n">
        <f aca="false">K655/E655</f>
        <v>36.9103348937703</v>
      </c>
      <c r="N655" s="3" t="str">
        <f aca="false">IF(OR(K655="",M655=""),"",IF(C655="STATS_ONLY","stats",IF(ROUND(K655/M655,2)=E655,"OK","CHECK")))</f>
        <v>OK</v>
      </c>
      <c r="O655" s="3" t="str">
        <f aca="false">TEXT(D655,"yyyy-mm")</f>
        <v>2025-11</v>
      </c>
      <c r="P655" s="13" t="s">
        <v>170</v>
      </c>
    </row>
    <row r="656" customFormat="false" ht="15" hidden="false" customHeight="false" outlineLevel="0" collapsed="false">
      <c r="A656" s="5" t="s">
        <v>39</v>
      </c>
      <c r="B656" s="5" t="n">
        <v>301</v>
      </c>
      <c r="C656" s="5" t="s">
        <v>187</v>
      </c>
      <c r="D656" s="14" t="n">
        <v>45966</v>
      </c>
      <c r="E656" s="15" t="n">
        <v>-6.77</v>
      </c>
      <c r="F656" s="5" t="s">
        <v>204</v>
      </c>
      <c r="G656" s="5" t="s">
        <v>178</v>
      </c>
      <c r="H656" s="5" t="s">
        <v>189</v>
      </c>
      <c r="I656" s="5" t="s">
        <v>205</v>
      </c>
      <c r="J656" s="5" t="s">
        <v>206</v>
      </c>
      <c r="K656" s="16" t="n">
        <v>-250</v>
      </c>
      <c r="L656" s="5" t="s">
        <v>192</v>
      </c>
      <c r="M656" s="17" t="n">
        <v>36.9103348937703</v>
      </c>
      <c r="N656" s="3" t="str">
        <f aca="false">IF(OR(K656="",M656=""),"",IF(C656="STATS_ONLY","stats",IF(ROUND(K656/M656,2)=E656,"OK","CHECK")))</f>
        <v>OK</v>
      </c>
      <c r="O656" s="3" t="str">
        <f aca="false">TEXT(D656,"yyyy-mm")</f>
        <v>2025-11</v>
      </c>
      <c r="P656" s="13" t="s">
        <v>207</v>
      </c>
    </row>
    <row r="657" customFormat="false" ht="15" hidden="false" customHeight="false" outlineLevel="0" collapsed="false">
      <c r="A657" s="5" t="s">
        <v>42</v>
      </c>
      <c r="B657" s="5" t="n">
        <v>401</v>
      </c>
      <c r="C657" s="5" t="s">
        <v>152</v>
      </c>
      <c r="D657" s="14" t="n">
        <v>45971</v>
      </c>
      <c r="E657" s="15" t="n">
        <v>-250</v>
      </c>
      <c r="F657" s="5" t="s">
        <v>323</v>
      </c>
      <c r="G657" s="5" t="s">
        <v>167</v>
      </c>
      <c r="H657" s="5" t="s">
        <v>167</v>
      </c>
      <c r="I657" s="5" t="s">
        <v>168</v>
      </c>
      <c r="J657" s="5"/>
      <c r="K657" s="16"/>
      <c r="L657" s="5"/>
      <c r="M657" s="17"/>
      <c r="N657" s="3" t="str">
        <f aca="false">IF(OR(K657="",M657=""),"",IF(C657="STATS_ONLY","stats",IF(ROUND(K657/M657,2)=E657,"OK","CHECK")))</f>
        <v/>
      </c>
      <c r="O657" s="3" t="str">
        <f aca="false">TEXT(D657,"yyyy-mm")</f>
        <v>2025-11</v>
      </c>
      <c r="P657" s="13" t="s">
        <v>169</v>
      </c>
    </row>
    <row r="658" customFormat="false" ht="15" hidden="false" customHeight="false" outlineLevel="0" collapsed="false">
      <c r="A658" s="5" t="s">
        <v>42</v>
      </c>
      <c r="B658" s="5" t="n">
        <v>401</v>
      </c>
      <c r="C658" s="5" t="s">
        <v>213</v>
      </c>
      <c r="D658" s="14" t="n">
        <v>45971</v>
      </c>
      <c r="E658" s="15" t="n">
        <v>250</v>
      </c>
      <c r="F658" s="5" t="s">
        <v>323</v>
      </c>
      <c r="G658" s="5" t="s">
        <v>167</v>
      </c>
      <c r="H658" s="5" t="s">
        <v>167</v>
      </c>
      <c r="I658" s="5" t="s">
        <v>168</v>
      </c>
      <c r="J658" s="5"/>
      <c r="K658" s="16"/>
      <c r="L658" s="5"/>
      <c r="M658" s="17"/>
      <c r="N658" s="3" t="str">
        <f aca="false">IF(OR(K658="",M658=""),"",IF(C658="STATS_ONLY","stats",IF(ROUND(K658/M658,2)=E658,"OK","CHECK")))</f>
        <v/>
      </c>
      <c r="O658" s="3" t="str">
        <f aca="false">TEXT(D658,"yyyy-mm")</f>
        <v>2025-11</v>
      </c>
      <c r="P658" s="13" t="s">
        <v>170</v>
      </c>
    </row>
    <row r="659" customFormat="false" ht="15" hidden="false" customHeight="false" outlineLevel="0" collapsed="false">
      <c r="A659" s="5" t="s">
        <v>42</v>
      </c>
      <c r="B659" s="5" t="n">
        <v>402</v>
      </c>
      <c r="C659" s="5" t="s">
        <v>213</v>
      </c>
      <c r="D659" s="14" t="n">
        <v>45974</v>
      </c>
      <c r="E659" s="15" t="n">
        <v>-200</v>
      </c>
      <c r="F659" s="5" t="s">
        <v>324</v>
      </c>
      <c r="G659" s="5" t="s">
        <v>167</v>
      </c>
      <c r="H659" s="5" t="s">
        <v>167</v>
      </c>
      <c r="I659" s="5" t="s">
        <v>168</v>
      </c>
      <c r="J659" s="5"/>
      <c r="K659" s="16"/>
      <c r="L659" s="5"/>
      <c r="M659" s="17"/>
      <c r="N659" s="3" t="str">
        <f aca="false">IF(OR(K659="",M659=""),"",IF(C659="STATS_ONLY","stats",IF(ROUND(K659/M659,2)=E659,"OK","CHECK")))</f>
        <v/>
      </c>
      <c r="O659" s="3" t="str">
        <f aca="false">TEXT(D659,"yyyy-mm")</f>
        <v>2025-11</v>
      </c>
      <c r="P659" s="13" t="s">
        <v>169</v>
      </c>
    </row>
    <row r="660" customFormat="false" ht="15" hidden="false" customHeight="false" outlineLevel="0" collapsed="false">
      <c r="A660" s="5" t="s">
        <v>42</v>
      </c>
      <c r="B660" s="5" t="n">
        <v>402</v>
      </c>
      <c r="C660" s="5" t="s">
        <v>239</v>
      </c>
      <c r="D660" s="14" t="n">
        <v>45974</v>
      </c>
      <c r="E660" s="15" t="n">
        <v>200</v>
      </c>
      <c r="F660" s="5" t="s">
        <v>324</v>
      </c>
      <c r="G660" s="5" t="s">
        <v>167</v>
      </c>
      <c r="H660" s="5" t="s">
        <v>167</v>
      </c>
      <c r="I660" s="5" t="s">
        <v>168</v>
      </c>
      <c r="J660" s="5"/>
      <c r="K660" s="16" t="n">
        <v>7364</v>
      </c>
      <c r="L660" s="5" t="s">
        <v>192</v>
      </c>
      <c r="M660" s="18" t="n">
        <f aca="false">K660/E660</f>
        <v>36.82</v>
      </c>
      <c r="N660" s="3" t="str">
        <f aca="false">IF(OR(K660="",M660=""),"",IF(C660="STATS_ONLY","stats",IF(ROUND(K660/M660,2)=E660,"OK","CHECK")))</f>
        <v>OK</v>
      </c>
      <c r="O660" s="3" t="str">
        <f aca="false">TEXT(D660,"yyyy-mm")</f>
        <v>2025-11</v>
      </c>
      <c r="P660" s="13" t="s">
        <v>170</v>
      </c>
    </row>
    <row r="661" customFormat="false" ht="15" hidden="false" customHeight="false" outlineLevel="0" collapsed="false">
      <c r="A661" s="5" t="s">
        <v>45</v>
      </c>
      <c r="B661" s="5" t="n">
        <v>501</v>
      </c>
      <c r="C661" s="5" t="s">
        <v>171</v>
      </c>
      <c r="D661" s="14" t="n">
        <v>45969</v>
      </c>
      <c r="E661" s="15" t="n">
        <v>-612.4</v>
      </c>
      <c r="F661" s="5" t="s">
        <v>325</v>
      </c>
      <c r="G661" s="5" t="s">
        <v>326</v>
      </c>
      <c r="H661" s="5" t="s">
        <v>327</v>
      </c>
      <c r="I661" s="5" t="s">
        <v>328</v>
      </c>
      <c r="J661" s="5"/>
      <c r="K661" s="16"/>
      <c r="L661" s="5"/>
      <c r="M661" s="17"/>
      <c r="N661" s="3" t="str">
        <f aca="false">IF(OR(K661="",M661=""),"",IF(C661="STATS_ONLY","stats",IF(ROUND(K661/M661,2)=E661,"OK","CHECK")))</f>
        <v/>
      </c>
      <c r="O661" s="3" t="str">
        <f aca="false">TEXT(D661,"yyyy-mm")</f>
        <v>2025-11</v>
      </c>
      <c r="P661" s="13"/>
    </row>
    <row r="662" customFormat="false" ht="15" hidden="false" customHeight="false" outlineLevel="0" collapsed="false">
      <c r="A662" s="5" t="s">
        <v>45</v>
      </c>
      <c r="B662" s="5" t="n">
        <v>502</v>
      </c>
      <c r="C662" s="5" t="s">
        <v>152</v>
      </c>
      <c r="D662" s="14" t="n">
        <v>45989</v>
      </c>
      <c r="E662" s="15" t="n">
        <v>-612.4</v>
      </c>
      <c r="F662" s="5" t="s">
        <v>319</v>
      </c>
      <c r="G662" s="5" t="s">
        <v>167</v>
      </c>
      <c r="H662" s="5" t="s">
        <v>167</v>
      </c>
      <c r="I662" s="5" t="s">
        <v>168</v>
      </c>
      <c r="J662" s="5"/>
      <c r="K662" s="16"/>
      <c r="L662" s="5"/>
      <c r="M662" s="17"/>
      <c r="N662" s="3" t="str">
        <f aca="false">IF(OR(K662="",M662=""),"",IF(C662="STATS_ONLY","stats",IF(ROUND(K662/M662,2)=E662,"OK","CHECK")))</f>
        <v/>
      </c>
      <c r="O662" s="3" t="str">
        <f aca="false">TEXT(D662,"yyyy-mm")</f>
        <v>2025-11</v>
      </c>
      <c r="P662" s="13" t="s">
        <v>169</v>
      </c>
    </row>
    <row r="663" customFormat="false" ht="15" hidden="false" customHeight="false" outlineLevel="0" collapsed="false">
      <c r="A663" s="5" t="s">
        <v>45</v>
      </c>
      <c r="B663" s="5" t="n">
        <v>502</v>
      </c>
      <c r="C663" s="5" t="s">
        <v>171</v>
      </c>
      <c r="D663" s="14" t="n">
        <v>45989</v>
      </c>
      <c r="E663" s="15" t="n">
        <v>612.4</v>
      </c>
      <c r="F663" s="5" t="s">
        <v>319</v>
      </c>
      <c r="G663" s="5" t="s">
        <v>167</v>
      </c>
      <c r="H663" s="5" t="s">
        <v>167</v>
      </c>
      <c r="I663" s="5" t="s">
        <v>168</v>
      </c>
      <c r="J663" s="5"/>
      <c r="K663" s="16"/>
      <c r="L663" s="5"/>
      <c r="M663" s="17"/>
      <c r="N663" s="3" t="str">
        <f aca="false">IF(OR(K663="",M663=""),"",IF(C663="STATS_ONLY","stats",IF(ROUND(K663/M663,2)=E663,"OK","CHECK")))</f>
        <v/>
      </c>
      <c r="O663" s="3" t="str">
        <f aca="false">TEXT(D663,"yyyy-mm")</f>
        <v>2025-11</v>
      </c>
      <c r="P663" s="13" t="s">
        <v>170</v>
      </c>
    </row>
    <row r="664" customFormat="false" ht="15" hidden="false" customHeight="false" outlineLevel="0" collapsed="false">
      <c r="A664" s="5" t="s">
        <v>48</v>
      </c>
      <c r="B664" s="5" t="n">
        <v>601</v>
      </c>
      <c r="C664" s="5" t="s">
        <v>152</v>
      </c>
      <c r="D664" s="14" t="n">
        <v>45992</v>
      </c>
      <c r="E664" s="15" t="n">
        <v>-126.45</v>
      </c>
      <c r="F664" s="5" t="s">
        <v>329</v>
      </c>
      <c r="G664" s="5" t="s">
        <v>167</v>
      </c>
      <c r="H664" s="5" t="s">
        <v>167</v>
      </c>
      <c r="I664" s="5" t="s">
        <v>168</v>
      </c>
      <c r="J664" s="5"/>
      <c r="K664" s="16"/>
      <c r="L664" s="5"/>
      <c r="M664" s="17"/>
      <c r="N664" s="3" t="str">
        <f aca="false">IF(OR(K664="",M664=""),"",IF(C664="STATS_ONLY","stats",IF(ROUND(K664/M664,2)=E664,"OK","CHECK")))</f>
        <v/>
      </c>
      <c r="O664" s="3" t="str">
        <f aca="false">TEXT(D664,"yyyy-mm")</f>
        <v>2025-12</v>
      </c>
      <c r="P664" s="13" t="s">
        <v>169</v>
      </c>
    </row>
    <row r="665" customFormat="false" ht="15" hidden="false" customHeight="false" outlineLevel="0" collapsed="false">
      <c r="A665" s="5" t="s">
        <v>48</v>
      </c>
      <c r="B665" s="5" t="n">
        <v>601</v>
      </c>
      <c r="C665" s="5" t="s">
        <v>330</v>
      </c>
      <c r="D665" s="14" t="n">
        <v>45992</v>
      </c>
      <c r="E665" s="15" t="n">
        <v>126.45</v>
      </c>
      <c r="F665" s="5" t="s">
        <v>329</v>
      </c>
      <c r="G665" s="5" t="s">
        <v>167</v>
      </c>
      <c r="H665" s="5" t="s">
        <v>167</v>
      </c>
      <c r="I665" s="5" t="s">
        <v>168</v>
      </c>
      <c r="J665" s="5"/>
      <c r="K665" s="16"/>
      <c r="L665" s="5"/>
      <c r="M665" s="17"/>
      <c r="N665" s="3" t="str">
        <f aca="false">IF(OR(K665="",M665=""),"",IF(C665="STATS_ONLY","stats",IF(ROUND(K665/M665,2)=E665,"OK","CHECK")))</f>
        <v/>
      </c>
      <c r="O665" s="3" t="str">
        <f aca="false">TEXT(D665,"yyyy-mm")</f>
        <v>2025-12</v>
      </c>
      <c r="P665" s="13" t="s">
        <v>170</v>
      </c>
    </row>
    <row r="666" customFormat="false" ht="15" hidden="false" customHeight="false" outlineLevel="0" collapsed="false">
      <c r="A666" s="5" t="s">
        <v>48</v>
      </c>
      <c r="B666" s="5" t="n">
        <v>601</v>
      </c>
      <c r="C666" s="5" t="s">
        <v>330</v>
      </c>
      <c r="D666" s="14" t="n">
        <v>45992</v>
      </c>
      <c r="E666" s="15" t="n">
        <v>-0.45</v>
      </c>
      <c r="F666" s="5" t="s">
        <v>331</v>
      </c>
      <c r="G666" s="5" t="s">
        <v>184</v>
      </c>
      <c r="H666" s="5" t="s">
        <v>301</v>
      </c>
      <c r="I666" s="5" t="s">
        <v>332</v>
      </c>
      <c r="J666" s="5"/>
      <c r="K666" s="16"/>
      <c r="L666" s="5"/>
      <c r="M666" s="17"/>
      <c r="N666" s="3" t="str">
        <f aca="false">IF(OR(K666="",M666=""),"",IF(C666="STATS_ONLY","stats",IF(ROUND(K666/M666,2)=E666,"OK","CHECK")))</f>
        <v/>
      </c>
      <c r="O666" s="3" t="str">
        <f aca="false">TEXT(D666,"yyyy-mm")</f>
        <v>2025-12</v>
      </c>
      <c r="P666" s="13" t="s">
        <v>333</v>
      </c>
    </row>
    <row r="667" customFormat="false" ht="15" hidden="false" customHeight="false" outlineLevel="0" collapsed="false">
      <c r="A667" s="5" t="s">
        <v>48</v>
      </c>
      <c r="B667" s="5" t="n">
        <v>602</v>
      </c>
      <c r="C667" s="5" t="s">
        <v>330</v>
      </c>
      <c r="D667" s="14" t="n">
        <v>45992</v>
      </c>
      <c r="E667" s="15" t="n">
        <v>-126</v>
      </c>
      <c r="F667" s="5" t="s">
        <v>334</v>
      </c>
      <c r="G667" s="5" t="s">
        <v>178</v>
      </c>
      <c r="H667" s="5" t="s">
        <v>189</v>
      </c>
      <c r="I667" s="5" t="s">
        <v>190</v>
      </c>
      <c r="J667" s="5" t="s">
        <v>191</v>
      </c>
      <c r="K667" s="16" t="n">
        <v>-4650</v>
      </c>
      <c r="L667" s="5" t="s">
        <v>192</v>
      </c>
      <c r="M667" s="17" t="n">
        <v>36.9047619047619</v>
      </c>
      <c r="N667" s="3" t="str">
        <f aca="false">IF(OR(K667="",M667=""),"",IF(C667="STATS_ONLY","stats",IF(ROUND(K667/M667,2)=E667,"OK","CHECK")))</f>
        <v>OK</v>
      </c>
      <c r="O667" s="3" t="str">
        <f aca="false">TEXT(D667,"yyyy-mm")</f>
        <v>2025-12</v>
      </c>
      <c r="P667" s="13"/>
    </row>
    <row r="668" customFormat="false" ht="15" hidden="false" customHeight="false" outlineLevel="0" collapsed="false">
      <c r="A668" s="5" t="s">
        <v>51</v>
      </c>
      <c r="B668" s="5" t="n">
        <v>701</v>
      </c>
      <c r="C668" s="5" t="s">
        <v>152</v>
      </c>
      <c r="D668" s="14" t="n">
        <v>46144</v>
      </c>
      <c r="E668" s="15" t="n">
        <v>-149.5</v>
      </c>
      <c r="F668" s="5" t="s">
        <v>335</v>
      </c>
      <c r="G668" s="5" t="s">
        <v>167</v>
      </c>
      <c r="H668" s="5" t="s">
        <v>167</v>
      </c>
      <c r="I668" s="5" t="s">
        <v>168</v>
      </c>
      <c r="J668" s="5"/>
      <c r="K668" s="16"/>
      <c r="L668" s="5"/>
      <c r="M668" s="17"/>
      <c r="N668" s="3" t="str">
        <f aca="false">IF(OR(K668="",M668=""),"",IF(C668="STATS_ONLY","stats",IF(ROUND(K668/M668,2)=E668,"OK","CHECK")))</f>
        <v/>
      </c>
      <c r="O668" s="3" t="str">
        <f aca="false">TEXT(D668,"yyyy-mm")</f>
        <v>2026-05</v>
      </c>
      <c r="P668" s="13" t="s">
        <v>169</v>
      </c>
    </row>
    <row r="669" customFormat="false" ht="15" hidden="false" customHeight="false" outlineLevel="0" collapsed="false">
      <c r="A669" s="5" t="s">
        <v>51</v>
      </c>
      <c r="B669" s="5" t="n">
        <v>701</v>
      </c>
      <c r="C669" s="5" t="s">
        <v>152</v>
      </c>
      <c r="D669" s="14" t="n">
        <v>46144</v>
      </c>
      <c r="E669" s="15" t="n">
        <v>-0.5</v>
      </c>
      <c r="F669" s="5" t="s">
        <v>336</v>
      </c>
      <c r="G669" s="5" t="s">
        <v>184</v>
      </c>
      <c r="H669" s="5" t="s">
        <v>301</v>
      </c>
      <c r="I669" s="5" t="s">
        <v>332</v>
      </c>
      <c r="J669" s="5"/>
      <c r="K669" s="16"/>
      <c r="L669" s="5"/>
      <c r="M669" s="17"/>
      <c r="N669" s="3" t="str">
        <f aca="false">IF(OR(K669="",M669=""),"",IF(C669="STATS_ONLY","stats",IF(ROUND(K669/M669,2)=E669,"OK","CHECK")))</f>
        <v/>
      </c>
      <c r="O669" s="3" t="str">
        <f aca="false">TEXT(D669,"yyyy-mm")</f>
        <v>2026-05</v>
      </c>
      <c r="P669" s="13" t="s">
        <v>333</v>
      </c>
    </row>
    <row r="670" customFormat="false" ht="15" hidden="false" customHeight="false" outlineLevel="0" collapsed="false">
      <c r="A670" s="5" t="s">
        <v>51</v>
      </c>
      <c r="B670" s="5" t="n">
        <v>701</v>
      </c>
      <c r="C670" s="5" t="s">
        <v>337</v>
      </c>
      <c r="D670" s="14" t="n">
        <v>46144</v>
      </c>
      <c r="E670" s="15" t="n">
        <v>149.5</v>
      </c>
      <c r="F670" s="5" t="s">
        <v>338</v>
      </c>
      <c r="G670" s="5" t="s">
        <v>167</v>
      </c>
      <c r="H670" s="5" t="s">
        <v>167</v>
      </c>
      <c r="I670" s="5" t="s">
        <v>168</v>
      </c>
      <c r="J670" s="5"/>
      <c r="K670" s="16"/>
      <c r="L670" s="5"/>
      <c r="M670" s="17"/>
      <c r="N670" s="3" t="str">
        <f aca="false">IF(OR(K670="",M670=""),"",IF(C670="STATS_ONLY","stats",IF(ROUND(K670/M670,2)=E670,"OK","CHECK")))</f>
        <v/>
      </c>
      <c r="O670" s="3" t="str">
        <f aca="false">TEXT(D670,"yyyy-mm")</f>
        <v>2026-05</v>
      </c>
      <c r="P670" s="13" t="s">
        <v>170</v>
      </c>
    </row>
    <row r="671" customFormat="false" ht="15" hidden="false" customHeight="false" outlineLevel="0" collapsed="false">
      <c r="A671" s="5" t="s">
        <v>54</v>
      </c>
      <c r="B671" s="5" t="n">
        <v>801</v>
      </c>
      <c r="C671" s="5" t="s">
        <v>160</v>
      </c>
      <c r="D671" s="14" t="n">
        <v>45965</v>
      </c>
      <c r="E671" s="15" t="n">
        <v>-51.24</v>
      </c>
      <c r="F671" s="5" t="s">
        <v>339</v>
      </c>
      <c r="G671" s="5" t="s">
        <v>167</v>
      </c>
      <c r="H671" s="5" t="s">
        <v>167</v>
      </c>
      <c r="I671" s="5" t="s">
        <v>168</v>
      </c>
      <c r="J671" s="5"/>
      <c r="K671" s="16" t="n">
        <v>-60</v>
      </c>
      <c r="L671" s="5" t="s">
        <v>161</v>
      </c>
      <c r="M671" s="18" t="n">
        <f aca="false">K671/E671</f>
        <v>1.17096018735363</v>
      </c>
      <c r="N671" s="3" t="str">
        <f aca="false">IF(OR(K671="",M671=""),"",IF(C671="STATS_ONLY","stats",IF(ROUND(K671/M671,2)=E671,"OK","CHECK")))</f>
        <v>OK</v>
      </c>
      <c r="O671" s="3" t="str">
        <f aca="false">TEXT(D671,"yyyy-mm")</f>
        <v>2025-11</v>
      </c>
      <c r="P671" s="13" t="s">
        <v>169</v>
      </c>
    </row>
    <row r="672" customFormat="false" ht="15" hidden="false" customHeight="false" outlineLevel="0" collapsed="false">
      <c r="A672" s="5" t="s">
        <v>54</v>
      </c>
      <c r="B672" s="5" t="n">
        <v>801</v>
      </c>
      <c r="C672" s="5" t="s">
        <v>176</v>
      </c>
      <c r="D672" s="14" t="n">
        <v>45965</v>
      </c>
      <c r="E672" s="15" t="n">
        <v>51.24</v>
      </c>
      <c r="F672" s="5" t="s">
        <v>339</v>
      </c>
      <c r="G672" s="5" t="s">
        <v>167</v>
      </c>
      <c r="H672" s="5" t="s">
        <v>167</v>
      </c>
      <c r="I672" s="5" t="s">
        <v>168</v>
      </c>
      <c r="J672" s="5"/>
      <c r="K672" s="16" t="n">
        <v>220</v>
      </c>
      <c r="L672" s="5" t="s">
        <v>182</v>
      </c>
      <c r="M672" s="18" t="n">
        <f aca="false">K672/E672</f>
        <v>4.29352068696331</v>
      </c>
      <c r="N672" s="3" t="str">
        <f aca="false">IF(OR(K672="",M672=""),"",IF(C672="STATS_ONLY","stats",IF(ROUND(K672/M672,2)=E672,"OK","CHECK")))</f>
        <v>OK</v>
      </c>
      <c r="O672" s="3" t="str">
        <f aca="false">TEXT(D672,"yyyy-mm")</f>
        <v>2025-11</v>
      </c>
      <c r="P672" s="13" t="s">
        <v>170</v>
      </c>
    </row>
    <row r="673" customFormat="false" ht="15" hidden="false" customHeight="false" outlineLevel="0" collapsed="false">
      <c r="A673" s="5" t="s">
        <v>57</v>
      </c>
      <c r="B673" s="5" t="n">
        <v>901</v>
      </c>
      <c r="C673" s="5" t="s">
        <v>152</v>
      </c>
      <c r="D673" s="14" t="n">
        <v>46053</v>
      </c>
      <c r="E673" s="15" t="n">
        <v>-500</v>
      </c>
      <c r="F673" s="5" t="s">
        <v>340</v>
      </c>
      <c r="G673" s="5" t="s">
        <v>167</v>
      </c>
      <c r="H673" s="5" t="s">
        <v>167</v>
      </c>
      <c r="I673" s="5" t="s">
        <v>168</v>
      </c>
      <c r="J673" s="5"/>
      <c r="K673" s="16"/>
      <c r="L673" s="5"/>
      <c r="M673" s="17"/>
      <c r="N673" s="3" t="str">
        <f aca="false">IF(OR(K673="",M673=""),"",IF(C673="STATS_ONLY","stats",IF(ROUND(K673/M673,2)=E673,"OK","CHECK")))</f>
        <v/>
      </c>
      <c r="O673" s="3" t="str">
        <f aca="false">TEXT(D673,"yyyy-mm")</f>
        <v>2026-01</v>
      </c>
      <c r="P673" s="13" t="s">
        <v>169</v>
      </c>
    </row>
    <row r="674" customFormat="false" ht="15" hidden="false" customHeight="false" outlineLevel="0" collapsed="false">
      <c r="A674" s="5" t="s">
        <v>57</v>
      </c>
      <c r="B674" s="5" t="n">
        <v>901</v>
      </c>
      <c r="C674" s="5" t="s">
        <v>213</v>
      </c>
      <c r="D674" s="14" t="n">
        <v>46055</v>
      </c>
      <c r="E674" s="15" t="n">
        <v>500</v>
      </c>
      <c r="F674" s="5" t="s">
        <v>340</v>
      </c>
      <c r="G674" s="5" t="s">
        <v>167</v>
      </c>
      <c r="H674" s="5" t="s">
        <v>167</v>
      </c>
      <c r="I674" s="5" t="s">
        <v>168</v>
      </c>
      <c r="J674" s="5"/>
      <c r="K674" s="16"/>
      <c r="L674" s="5"/>
      <c r="M674" s="17"/>
      <c r="N674" s="3" t="str">
        <f aca="false">IF(OR(K674="",M674=""),"",IF(C674="STATS_ONLY","stats",IF(ROUND(K674/M674,2)=E674,"OK","CHECK")))</f>
        <v/>
      </c>
      <c r="O674" s="3" t="str">
        <f aca="false">TEXT(D674,"yyyy-mm")</f>
        <v>2026-02</v>
      </c>
      <c r="P674" s="13" t="s">
        <v>170</v>
      </c>
    </row>
    <row r="675" customFormat="false" ht="15" hidden="false" customHeight="false" outlineLevel="0" collapsed="false">
      <c r="A675" s="5" t="s">
        <v>60</v>
      </c>
      <c r="B675" s="5" t="n">
        <v>1001</v>
      </c>
      <c r="C675" s="5" t="s">
        <v>152</v>
      </c>
      <c r="D675" s="14" t="n">
        <v>46037</v>
      </c>
      <c r="E675" s="15" t="n">
        <v>-100</v>
      </c>
      <c r="F675" s="5" t="s">
        <v>341</v>
      </c>
      <c r="G675" s="5" t="s">
        <v>167</v>
      </c>
      <c r="H675" s="5" t="s">
        <v>167</v>
      </c>
      <c r="I675" s="5" t="s">
        <v>168</v>
      </c>
      <c r="J675" s="5"/>
      <c r="K675" s="16"/>
      <c r="L675" s="5"/>
      <c r="M675" s="17"/>
      <c r="N675" s="3" t="str">
        <f aca="false">IF(OR(K675="",M675=""),"",IF(C675="STATS_ONLY","stats",IF(ROUND(K675/M675,2)=E675,"OK","CHECK")))</f>
        <v/>
      </c>
      <c r="O675" s="3" t="str">
        <f aca="false">TEXT(D675,"yyyy-mm")</f>
        <v>2026-01</v>
      </c>
      <c r="P675" s="13" t="s">
        <v>169</v>
      </c>
    </row>
    <row r="676" customFormat="false" ht="15" hidden="false" customHeight="false" outlineLevel="0" collapsed="false">
      <c r="A676" s="5" t="s">
        <v>60</v>
      </c>
      <c r="B676" s="5" t="n">
        <v>1001</v>
      </c>
      <c r="C676" s="5" t="s">
        <v>239</v>
      </c>
      <c r="D676" s="14" t="n">
        <v>46037</v>
      </c>
      <c r="E676" s="15" t="n">
        <v>100</v>
      </c>
      <c r="F676" s="5" t="s">
        <v>341</v>
      </c>
      <c r="G676" s="5" t="s">
        <v>167</v>
      </c>
      <c r="H676" s="5" t="s">
        <v>167</v>
      </c>
      <c r="I676" s="5" t="s">
        <v>168</v>
      </c>
      <c r="J676" s="5"/>
      <c r="K676" s="16" t="n">
        <v>3690</v>
      </c>
      <c r="L676" s="5" t="s">
        <v>192</v>
      </c>
      <c r="M676" s="18" t="n">
        <f aca="false">K676/E676</f>
        <v>36.9</v>
      </c>
      <c r="N676" s="3" t="str">
        <f aca="false">IF(OR(K676="",M676=""),"",IF(C676="STATS_ONLY","stats",IF(ROUND(K676/M676,2)=E676,"OK","CHECK")))</f>
        <v>OK</v>
      </c>
      <c r="O676" s="3" t="str">
        <f aca="false">TEXT(D676,"yyyy-mm")</f>
        <v>2026-01</v>
      </c>
      <c r="P676" s="13" t="s">
        <v>170</v>
      </c>
    </row>
    <row r="677" customFormat="false" ht="15" hidden="false" customHeight="false" outlineLevel="0" collapsed="false">
      <c r="A677" s="5" t="s">
        <v>63</v>
      </c>
      <c r="B677" s="5" t="n">
        <v>1101</v>
      </c>
      <c r="C677" s="5" t="s">
        <v>187</v>
      </c>
      <c r="D677" s="14" t="n">
        <v>45967</v>
      </c>
      <c r="E677" s="15" t="n">
        <v>-27.09</v>
      </c>
      <c r="F677" s="5" t="s">
        <v>342</v>
      </c>
      <c r="G677" s="5" t="s">
        <v>167</v>
      </c>
      <c r="H677" s="5" t="s">
        <v>167</v>
      </c>
      <c r="I677" s="5" t="s">
        <v>343</v>
      </c>
      <c r="J677" s="5"/>
      <c r="K677" s="16" t="n">
        <v>-1000</v>
      </c>
      <c r="L677" s="5" t="s">
        <v>192</v>
      </c>
      <c r="M677" s="18" t="n">
        <f aca="false">K677/E677</f>
        <v>36.9139904023625</v>
      </c>
      <c r="N677" s="3" t="str">
        <f aca="false">IF(OR(K677="",M677=""),"",IF(C677="STATS_ONLY","stats",IF(ROUND(K677/M677,2)=E677,"OK","CHECK")))</f>
        <v>OK</v>
      </c>
      <c r="O677" s="3" t="str">
        <f aca="false">TEXT(D677,"yyyy-mm")</f>
        <v>2025-11</v>
      </c>
      <c r="P677" s="13" t="s">
        <v>169</v>
      </c>
    </row>
    <row r="678" customFormat="false" ht="15" hidden="false" customHeight="false" outlineLevel="0" collapsed="false">
      <c r="A678" s="5" t="s">
        <v>63</v>
      </c>
      <c r="B678" s="5" t="n">
        <v>1101</v>
      </c>
      <c r="C678" s="5" t="s">
        <v>344</v>
      </c>
      <c r="D678" s="14" t="n">
        <v>45967</v>
      </c>
      <c r="E678" s="15" t="n">
        <v>27.09</v>
      </c>
      <c r="F678" s="5" t="s">
        <v>342</v>
      </c>
      <c r="G678" s="5" t="s">
        <v>167</v>
      </c>
      <c r="H678" s="5" t="s">
        <v>167</v>
      </c>
      <c r="I678" s="5" t="s">
        <v>343</v>
      </c>
      <c r="J678" s="5"/>
      <c r="K678" s="16"/>
      <c r="L678" s="5"/>
      <c r="M678" s="17"/>
      <c r="N678" s="3" t="str">
        <f aca="false">IF(OR(K678="",M678=""),"",IF(C678="STATS_ONLY","stats",IF(ROUND(K678/M678,2)=E678,"OK","CHECK")))</f>
        <v/>
      </c>
      <c r="O678" s="3" t="str">
        <f aca="false">TEXT(D678,"yyyy-mm")</f>
        <v>2025-11</v>
      </c>
      <c r="P678" s="13" t="s">
        <v>170</v>
      </c>
    </row>
    <row r="679" customFormat="false" ht="15" hidden="false" customHeight="false" outlineLevel="0" collapsed="false">
      <c r="A679" s="5" t="s">
        <v>63</v>
      </c>
      <c r="B679" s="5" t="n">
        <v>1102</v>
      </c>
      <c r="C679" s="5" t="s">
        <v>344</v>
      </c>
      <c r="D679" s="14" t="n">
        <v>46021</v>
      </c>
      <c r="E679" s="15" t="n">
        <v>-27.09</v>
      </c>
      <c r="F679" s="5" t="s">
        <v>345</v>
      </c>
      <c r="G679" s="5" t="s">
        <v>167</v>
      </c>
      <c r="H679" s="5" t="s">
        <v>167</v>
      </c>
      <c r="I679" s="5" t="s">
        <v>343</v>
      </c>
      <c r="J679" s="5"/>
      <c r="K679" s="16"/>
      <c r="L679" s="5"/>
      <c r="M679" s="17"/>
      <c r="N679" s="3" t="str">
        <f aca="false">IF(OR(K679="",M679=""),"",IF(C679="STATS_ONLY","stats",IF(ROUND(K679/M679,2)=E679,"OK","CHECK")))</f>
        <v/>
      </c>
      <c r="O679" s="3" t="str">
        <f aca="false">TEXT(D679,"yyyy-mm")</f>
        <v>2025-12</v>
      </c>
      <c r="P679" s="13" t="s">
        <v>169</v>
      </c>
    </row>
    <row r="680" customFormat="false" ht="15" hidden="false" customHeight="false" outlineLevel="0" collapsed="false">
      <c r="A680" s="5" t="s">
        <v>63</v>
      </c>
      <c r="B680" s="5" t="n">
        <v>1102</v>
      </c>
      <c r="C680" s="5" t="s">
        <v>187</v>
      </c>
      <c r="D680" s="14" t="n">
        <v>46021</v>
      </c>
      <c r="E680" s="15" t="n">
        <v>27.09</v>
      </c>
      <c r="F680" s="5" t="s">
        <v>345</v>
      </c>
      <c r="G680" s="5" t="s">
        <v>167</v>
      </c>
      <c r="H680" s="5" t="s">
        <v>167</v>
      </c>
      <c r="I680" s="5" t="s">
        <v>343</v>
      </c>
      <c r="J680" s="5"/>
      <c r="K680" s="16" t="n">
        <v>1000</v>
      </c>
      <c r="L680" s="5" t="s">
        <v>192</v>
      </c>
      <c r="M680" s="18" t="n">
        <f aca="false">K680/E680</f>
        <v>36.9139904023625</v>
      </c>
      <c r="N680" s="3" t="str">
        <f aca="false">IF(OR(K680="",M680=""),"",IF(C680="STATS_ONLY","stats",IF(ROUND(K680/M680,2)=E680,"OK","CHECK")))</f>
        <v>OK</v>
      </c>
      <c r="O680" s="3" t="str">
        <f aca="false">TEXT(D680,"yyyy-mm")</f>
        <v>2025-12</v>
      </c>
      <c r="P680" s="13" t="s">
        <v>170</v>
      </c>
    </row>
    <row r="681" customFormat="false" ht="15" hidden="false" customHeight="false" outlineLevel="0" collapsed="false">
      <c r="A681" s="5" t="s">
        <v>67</v>
      </c>
      <c r="B681" s="5" t="n">
        <v>1201</v>
      </c>
      <c r="C681" s="5" t="s">
        <v>171</v>
      </c>
      <c r="D681" s="14" t="n">
        <v>46067</v>
      </c>
      <c r="E681" s="15" t="n">
        <v>-50.7</v>
      </c>
      <c r="F681" s="5" t="s">
        <v>346</v>
      </c>
      <c r="G681" s="5" t="s">
        <v>167</v>
      </c>
      <c r="H681" s="5" t="s">
        <v>167</v>
      </c>
      <c r="I681" s="5" t="s">
        <v>347</v>
      </c>
      <c r="J681" s="5"/>
      <c r="K681" s="16" t="n">
        <v>-55</v>
      </c>
      <c r="L681" s="5" t="s">
        <v>161</v>
      </c>
      <c r="M681" s="18" t="n">
        <f aca="false">K681/E681</f>
        <v>1.08481262327416</v>
      </c>
      <c r="N681" s="3" t="str">
        <f aca="false">IF(OR(K681="",M681=""),"",IF(C681="STATS_ONLY","stats",IF(ROUND(K681/M681,2)=E681,"OK","CHECK")))</f>
        <v>OK</v>
      </c>
      <c r="O681" s="3" t="str">
        <f aca="false">TEXT(D681,"yyyy-mm")</f>
        <v>2026-02</v>
      </c>
      <c r="P681" s="13" t="s">
        <v>169</v>
      </c>
    </row>
    <row r="682" customFormat="false" ht="15" hidden="false" customHeight="false" outlineLevel="0" collapsed="false">
      <c r="A682" s="5" t="s">
        <v>67</v>
      </c>
      <c r="B682" s="5" t="n">
        <v>1201</v>
      </c>
      <c r="C682" s="5" t="s">
        <v>348</v>
      </c>
      <c r="D682" s="14" t="n">
        <v>46067</v>
      </c>
      <c r="E682" s="15" t="n">
        <v>50.7</v>
      </c>
      <c r="F682" s="5" t="s">
        <v>346</v>
      </c>
      <c r="G682" s="5" t="s">
        <v>167</v>
      </c>
      <c r="H682" s="5" t="s">
        <v>167</v>
      </c>
      <c r="I682" s="5" t="s">
        <v>347</v>
      </c>
      <c r="J682" s="5"/>
      <c r="K682" s="16"/>
      <c r="L682" s="5"/>
      <c r="M682" s="17"/>
      <c r="N682" s="3" t="str">
        <f aca="false">IF(OR(K682="",M682=""),"",IF(C682="STATS_ONLY","stats",IF(ROUND(K682/M682,2)=E682,"OK","CHECK")))</f>
        <v/>
      </c>
      <c r="O682" s="3" t="str">
        <f aca="false">TEXT(D682,"yyyy-mm")</f>
        <v>2026-02</v>
      </c>
      <c r="P682" s="13" t="s">
        <v>170</v>
      </c>
    </row>
    <row r="683" customFormat="false" ht="15" hidden="false" customHeight="false" outlineLevel="0" collapsed="false">
      <c r="A683" s="5" t="s">
        <v>67</v>
      </c>
      <c r="B683" s="5" t="n">
        <v>1202</v>
      </c>
      <c r="C683" s="5" t="s">
        <v>171</v>
      </c>
      <c r="D683" s="14" t="n">
        <v>46067</v>
      </c>
      <c r="E683" s="15" t="n">
        <v>-1.01</v>
      </c>
      <c r="F683" s="5" t="s">
        <v>349</v>
      </c>
      <c r="G683" s="5" t="s">
        <v>167</v>
      </c>
      <c r="H683" s="5" t="s">
        <v>167</v>
      </c>
      <c r="I683" s="5" t="s">
        <v>347</v>
      </c>
      <c r="J683" s="5"/>
      <c r="K683" s="16"/>
      <c r="L683" s="5"/>
      <c r="M683" s="17"/>
      <c r="N683" s="3" t="str">
        <f aca="false">IF(OR(K683="",M683=""),"",IF(C683="STATS_ONLY","stats",IF(ROUND(K683/M683,2)=E683,"OK","CHECK")))</f>
        <v/>
      </c>
      <c r="O683" s="3" t="str">
        <f aca="false">TEXT(D683,"yyyy-mm")</f>
        <v>2026-02</v>
      </c>
      <c r="P683" s="13" t="s">
        <v>169</v>
      </c>
    </row>
    <row r="684" customFormat="false" ht="15" hidden="false" customHeight="false" outlineLevel="0" collapsed="false">
      <c r="A684" s="5" t="s">
        <v>67</v>
      </c>
      <c r="B684" s="5" t="n">
        <v>1202</v>
      </c>
      <c r="C684" s="5" t="s">
        <v>348</v>
      </c>
      <c r="D684" s="14" t="n">
        <v>46067</v>
      </c>
      <c r="E684" s="15" t="n">
        <v>1.01</v>
      </c>
      <c r="F684" s="5" t="s">
        <v>349</v>
      </c>
      <c r="G684" s="5" t="s">
        <v>167</v>
      </c>
      <c r="H684" s="5" t="s">
        <v>167</v>
      </c>
      <c r="I684" s="5" t="s">
        <v>347</v>
      </c>
      <c r="J684" s="5"/>
      <c r="K684" s="16"/>
      <c r="L684" s="5"/>
      <c r="M684" s="17"/>
      <c r="N684" s="3" t="str">
        <f aca="false">IF(OR(K684="",M684=""),"",IF(C684="STATS_ONLY","stats",IF(ROUND(K684/M684,2)=E684,"OK","CHECK")))</f>
        <v/>
      </c>
      <c r="O684" s="3" t="str">
        <f aca="false">TEXT(D684,"yyyy-mm")</f>
        <v>2026-02</v>
      </c>
      <c r="P684" s="13" t="s">
        <v>170</v>
      </c>
    </row>
    <row r="685" customFormat="false" ht="15" hidden="false" customHeight="false" outlineLevel="0" collapsed="false">
      <c r="A685" s="5" t="s">
        <v>67</v>
      </c>
      <c r="B685" s="5" t="n">
        <v>1203</v>
      </c>
      <c r="C685" s="5" t="s">
        <v>348</v>
      </c>
      <c r="D685" s="14" t="n">
        <v>46101</v>
      </c>
      <c r="E685" s="15" t="n">
        <v>-51.71</v>
      </c>
      <c r="F685" s="5" t="s">
        <v>350</v>
      </c>
      <c r="G685" s="5" t="s">
        <v>167</v>
      </c>
      <c r="H685" s="5" t="s">
        <v>167</v>
      </c>
      <c r="I685" s="5" t="s">
        <v>347</v>
      </c>
      <c r="J685" s="5"/>
      <c r="K685" s="16"/>
      <c r="L685" s="5"/>
      <c r="M685" s="17"/>
      <c r="N685" s="3" t="str">
        <f aca="false">IF(OR(K685="",M685=""),"",IF(C685="STATS_ONLY","stats",IF(ROUND(K685/M685,2)=E685,"OK","CHECK")))</f>
        <v/>
      </c>
      <c r="O685" s="3" t="str">
        <f aca="false">TEXT(D685,"yyyy-mm")</f>
        <v>2026-03</v>
      </c>
      <c r="P685" s="13" t="s">
        <v>169</v>
      </c>
    </row>
    <row r="686" customFormat="false" ht="15" hidden="false" customHeight="false" outlineLevel="0" collapsed="false">
      <c r="A686" s="5" t="s">
        <v>67</v>
      </c>
      <c r="B686" s="5" t="n">
        <v>1203</v>
      </c>
      <c r="C686" s="5" t="s">
        <v>171</v>
      </c>
      <c r="D686" s="14" t="n">
        <v>46101</v>
      </c>
      <c r="E686" s="15" t="n">
        <v>51.71</v>
      </c>
      <c r="F686" s="5" t="s">
        <v>350</v>
      </c>
      <c r="G686" s="5" t="s">
        <v>167</v>
      </c>
      <c r="H686" s="5" t="s">
        <v>167</v>
      </c>
      <c r="I686" s="5" t="s">
        <v>347</v>
      </c>
      <c r="J686" s="5"/>
      <c r="K686" s="16"/>
      <c r="L686" s="5"/>
      <c r="M686" s="17"/>
      <c r="N686" s="3" t="str">
        <f aca="false">IF(OR(K686="",M686=""),"",IF(C686="STATS_ONLY","stats",IF(ROUND(K686/M686,2)=E686,"OK","CHECK")))</f>
        <v/>
      </c>
      <c r="O686" s="3" t="str">
        <f aca="false">TEXT(D686,"yyyy-mm")</f>
        <v>2026-03</v>
      </c>
      <c r="P686" s="13" t="s">
        <v>170</v>
      </c>
    </row>
    <row r="687" customFormat="false" ht="15" hidden="false" customHeight="false" outlineLevel="0" collapsed="false">
      <c r="A687" s="5" t="s">
        <v>70</v>
      </c>
      <c r="B687" s="5" t="n">
        <v>1301</v>
      </c>
      <c r="C687" s="5" t="s">
        <v>152</v>
      </c>
      <c r="D687" s="14" t="n">
        <v>46048</v>
      </c>
      <c r="E687" s="15" t="n">
        <v>-37.5</v>
      </c>
      <c r="F687" s="5" t="s">
        <v>351</v>
      </c>
      <c r="G687" s="5" t="s">
        <v>167</v>
      </c>
      <c r="H687" s="5" t="s">
        <v>167</v>
      </c>
      <c r="I687" s="5" t="s">
        <v>168</v>
      </c>
      <c r="J687" s="5"/>
      <c r="K687" s="16"/>
      <c r="L687" s="5"/>
      <c r="M687" s="17"/>
      <c r="N687" s="3" t="str">
        <f aca="false">IF(OR(K687="",M687=""),"",IF(C687="STATS_ONLY","stats",IF(ROUND(K687/M687,2)=E687,"OK","CHECK")))</f>
        <v/>
      </c>
      <c r="O687" s="3" t="str">
        <f aca="false">TEXT(D687,"yyyy-mm")</f>
        <v>2026-01</v>
      </c>
      <c r="P687" s="13" t="s">
        <v>169</v>
      </c>
    </row>
    <row r="688" customFormat="false" ht="15" hidden="false" customHeight="false" outlineLevel="0" collapsed="false">
      <c r="A688" s="5" t="s">
        <v>70</v>
      </c>
      <c r="B688" s="5" t="n">
        <v>1301</v>
      </c>
      <c r="C688" s="5" t="s">
        <v>352</v>
      </c>
      <c r="D688" s="14" t="n">
        <v>46048</v>
      </c>
      <c r="E688" s="15" t="n">
        <v>37.5</v>
      </c>
      <c r="F688" s="5" t="s">
        <v>351</v>
      </c>
      <c r="G688" s="5" t="s">
        <v>167</v>
      </c>
      <c r="H688" s="5" t="s">
        <v>167</v>
      </c>
      <c r="I688" s="5" t="s">
        <v>168</v>
      </c>
      <c r="J688" s="5"/>
      <c r="K688" s="16"/>
      <c r="L688" s="5"/>
      <c r="M688" s="17"/>
      <c r="N688" s="3" t="str">
        <f aca="false">IF(OR(K688="",M688=""),"",IF(C688="STATS_ONLY","stats",IF(ROUND(K688/M688,2)=E688,"OK","CHECK")))</f>
        <v/>
      </c>
      <c r="O688" s="3" t="str">
        <f aca="false">TEXT(D688,"yyyy-mm")</f>
        <v>2026-01</v>
      </c>
      <c r="P688" s="13" t="s">
        <v>170</v>
      </c>
    </row>
    <row r="689" customFormat="false" ht="15" hidden="false" customHeight="false" outlineLevel="0" collapsed="false">
      <c r="A689" s="5" t="s">
        <v>70</v>
      </c>
      <c r="B689" s="5" t="n">
        <v>1302</v>
      </c>
      <c r="C689" s="5" t="s">
        <v>152</v>
      </c>
      <c r="D689" s="14" t="n">
        <v>46079</v>
      </c>
      <c r="E689" s="15" t="n">
        <v>-37.5</v>
      </c>
      <c r="F689" s="5" t="s">
        <v>351</v>
      </c>
      <c r="G689" s="5" t="s">
        <v>167</v>
      </c>
      <c r="H689" s="5" t="s">
        <v>167</v>
      </c>
      <c r="I689" s="5" t="s">
        <v>168</v>
      </c>
      <c r="J689" s="5"/>
      <c r="K689" s="16"/>
      <c r="L689" s="5"/>
      <c r="M689" s="17"/>
      <c r="N689" s="3" t="str">
        <f aca="false">IF(OR(K689="",M689=""),"",IF(C689="STATS_ONLY","stats",IF(ROUND(K689/M689,2)=E689,"OK","CHECK")))</f>
        <v/>
      </c>
      <c r="O689" s="3" t="str">
        <f aca="false">TEXT(D689,"yyyy-mm")</f>
        <v>2026-02</v>
      </c>
      <c r="P689" s="13" t="s">
        <v>169</v>
      </c>
    </row>
    <row r="690" customFormat="false" ht="15" hidden="false" customHeight="false" outlineLevel="0" collapsed="false">
      <c r="A690" s="5" t="s">
        <v>70</v>
      </c>
      <c r="B690" s="5" t="n">
        <v>1302</v>
      </c>
      <c r="C690" s="5" t="s">
        <v>352</v>
      </c>
      <c r="D690" s="14" t="n">
        <v>46079</v>
      </c>
      <c r="E690" s="15" t="n">
        <v>37.5</v>
      </c>
      <c r="F690" s="5" t="s">
        <v>351</v>
      </c>
      <c r="G690" s="5" t="s">
        <v>167</v>
      </c>
      <c r="H690" s="5" t="s">
        <v>167</v>
      </c>
      <c r="I690" s="5" t="s">
        <v>168</v>
      </c>
      <c r="J690" s="5"/>
      <c r="K690" s="16"/>
      <c r="L690" s="5"/>
      <c r="M690" s="17"/>
      <c r="N690" s="3" t="str">
        <f aca="false">IF(OR(K690="",M690=""),"",IF(C690="STATS_ONLY","stats",IF(ROUND(K690/M690,2)=E690,"OK","CHECK")))</f>
        <v/>
      </c>
      <c r="O690" s="3" t="str">
        <f aca="false">TEXT(D690,"yyyy-mm")</f>
        <v>2026-02</v>
      </c>
      <c r="P690" s="13" t="s">
        <v>170</v>
      </c>
    </row>
    <row r="691" customFormat="false" ht="15" hidden="false" customHeight="false" outlineLevel="0" collapsed="false">
      <c r="A691" s="5" t="s">
        <v>70</v>
      </c>
      <c r="B691" s="5" t="n">
        <v>1303</v>
      </c>
      <c r="C691" s="5" t="s">
        <v>152</v>
      </c>
      <c r="D691" s="14" t="n">
        <v>46107</v>
      </c>
      <c r="E691" s="15" t="n">
        <v>-37.5</v>
      </c>
      <c r="F691" s="5" t="s">
        <v>351</v>
      </c>
      <c r="G691" s="5" t="s">
        <v>167</v>
      </c>
      <c r="H691" s="5" t="s">
        <v>167</v>
      </c>
      <c r="I691" s="5" t="s">
        <v>168</v>
      </c>
      <c r="J691" s="5"/>
      <c r="K691" s="16"/>
      <c r="L691" s="5"/>
      <c r="M691" s="17"/>
      <c r="N691" s="3" t="str">
        <f aca="false">IF(OR(K691="",M691=""),"",IF(C691="STATS_ONLY","stats",IF(ROUND(K691/M691,2)=E691,"OK","CHECK")))</f>
        <v/>
      </c>
      <c r="O691" s="3" t="str">
        <f aca="false">TEXT(D691,"yyyy-mm")</f>
        <v>2026-03</v>
      </c>
      <c r="P691" s="13" t="s">
        <v>169</v>
      </c>
    </row>
    <row r="692" customFormat="false" ht="15" hidden="false" customHeight="false" outlineLevel="0" collapsed="false">
      <c r="A692" s="5" t="s">
        <v>70</v>
      </c>
      <c r="B692" s="5" t="n">
        <v>1303</v>
      </c>
      <c r="C692" s="5" t="s">
        <v>352</v>
      </c>
      <c r="D692" s="14" t="n">
        <v>46107</v>
      </c>
      <c r="E692" s="15" t="n">
        <v>37.5</v>
      </c>
      <c r="F692" s="5" t="s">
        <v>351</v>
      </c>
      <c r="G692" s="5" t="s">
        <v>167</v>
      </c>
      <c r="H692" s="5" t="s">
        <v>167</v>
      </c>
      <c r="I692" s="5" t="s">
        <v>168</v>
      </c>
      <c r="J692" s="5"/>
      <c r="K692" s="16"/>
      <c r="L692" s="5"/>
      <c r="M692" s="17"/>
      <c r="N692" s="3" t="str">
        <f aca="false">IF(OR(K692="",M692=""),"",IF(C692="STATS_ONLY","stats",IF(ROUND(K692/M692,2)=E692,"OK","CHECK")))</f>
        <v/>
      </c>
      <c r="O692" s="3" t="str">
        <f aca="false">TEXT(D692,"yyyy-mm")</f>
        <v>2026-03</v>
      </c>
      <c r="P692" s="13" t="s">
        <v>170</v>
      </c>
    </row>
    <row r="693" customFormat="false" ht="15" hidden="false" customHeight="false" outlineLevel="0" collapsed="false">
      <c r="A693" s="5" t="s">
        <v>70</v>
      </c>
      <c r="B693" s="5" t="n">
        <v>1304</v>
      </c>
      <c r="C693" s="5" t="s">
        <v>352</v>
      </c>
      <c r="D693" s="14" t="n">
        <v>46127</v>
      </c>
      <c r="E693" s="15" t="n">
        <v>-30</v>
      </c>
      <c r="F693" s="5" t="s">
        <v>353</v>
      </c>
      <c r="G693" s="5" t="s">
        <v>184</v>
      </c>
      <c r="H693" s="5" t="s">
        <v>354</v>
      </c>
      <c r="I693" s="5" t="s">
        <v>285</v>
      </c>
      <c r="J693" s="5"/>
      <c r="K693" s="16"/>
      <c r="L693" s="5"/>
      <c r="M693" s="17"/>
      <c r="N693" s="3" t="str">
        <f aca="false">IF(OR(K693="",M693=""),"",IF(C693="STATS_ONLY","stats",IF(ROUND(K693/M693,2)=E693,"OK","CHECK")))</f>
        <v/>
      </c>
      <c r="O693" s="3" t="str">
        <f aca="false">TEXT(D693,"yyyy-mm")</f>
        <v>2026-04</v>
      </c>
      <c r="P693" s="13" t="s">
        <v>355</v>
      </c>
    </row>
    <row r="694" customFormat="false" ht="15" hidden="false" customHeight="false" outlineLevel="0" collapsed="false">
      <c r="A694" s="5" t="s">
        <v>70</v>
      </c>
      <c r="B694" s="5" t="n">
        <v>1304</v>
      </c>
      <c r="C694" s="5" t="s">
        <v>352</v>
      </c>
      <c r="D694" s="14" t="n">
        <v>46127</v>
      </c>
      <c r="E694" s="15" t="n">
        <v>-82.5</v>
      </c>
      <c r="F694" s="5" t="s">
        <v>356</v>
      </c>
      <c r="G694" s="5" t="s">
        <v>167</v>
      </c>
      <c r="H694" s="5" t="s">
        <v>167</v>
      </c>
      <c r="I694" s="5" t="s">
        <v>168</v>
      </c>
      <c r="J694" s="5"/>
      <c r="K694" s="16"/>
      <c r="L694" s="5"/>
      <c r="M694" s="17"/>
      <c r="N694" s="3" t="str">
        <f aca="false">IF(OR(K694="",M694=""),"",IF(C694="STATS_ONLY","stats",IF(ROUND(K694/M694,2)=E694,"OK","CHECK")))</f>
        <v/>
      </c>
      <c r="O694" s="3" t="str">
        <f aca="false">TEXT(D694,"yyyy-mm")</f>
        <v>2026-04</v>
      </c>
      <c r="P694" s="13" t="s">
        <v>169</v>
      </c>
    </row>
    <row r="695" customFormat="false" ht="15" hidden="false" customHeight="false" outlineLevel="0" collapsed="false">
      <c r="A695" s="5" t="s">
        <v>70</v>
      </c>
      <c r="B695" s="5" t="n">
        <v>1304</v>
      </c>
      <c r="C695" s="5" t="s">
        <v>152</v>
      </c>
      <c r="D695" s="14" t="n">
        <v>46127</v>
      </c>
      <c r="E695" s="15" t="n">
        <v>82.5</v>
      </c>
      <c r="F695" s="5" t="s">
        <v>356</v>
      </c>
      <c r="G695" s="5" t="s">
        <v>167</v>
      </c>
      <c r="H695" s="5" t="s">
        <v>167</v>
      </c>
      <c r="I695" s="5" t="s">
        <v>168</v>
      </c>
      <c r="J695" s="5"/>
      <c r="K695" s="16"/>
      <c r="L695" s="5"/>
      <c r="M695" s="17"/>
      <c r="N695" s="3" t="str">
        <f aca="false">IF(OR(K695="",M695=""),"",IF(C695="STATS_ONLY","stats",IF(ROUND(K695/M695,2)=E695,"OK","CHECK")))</f>
        <v/>
      </c>
      <c r="O695" s="3" t="str">
        <f aca="false">TEXT(D695,"yyyy-mm")</f>
        <v>2026-04</v>
      </c>
      <c r="P695" s="13" t="s">
        <v>170</v>
      </c>
    </row>
    <row r="696" customFormat="false" ht="15" hidden="false" customHeight="false" outlineLevel="0" collapsed="false">
      <c r="A696" s="5" t="s">
        <v>73</v>
      </c>
      <c r="B696" s="5" t="n">
        <v>1401</v>
      </c>
      <c r="C696" s="5" t="s">
        <v>152</v>
      </c>
      <c r="D696" s="14" t="n">
        <v>45963</v>
      </c>
      <c r="E696" s="15" t="n">
        <v>-180</v>
      </c>
      <c r="F696" s="5" t="s">
        <v>357</v>
      </c>
      <c r="G696" s="5" t="s">
        <v>167</v>
      </c>
      <c r="H696" s="5" t="s">
        <v>167</v>
      </c>
      <c r="I696" s="5" t="s">
        <v>168</v>
      </c>
      <c r="J696" s="5"/>
      <c r="K696" s="16"/>
      <c r="L696" s="5"/>
      <c r="M696" s="17"/>
      <c r="N696" s="3" t="str">
        <f aca="false">IF(OR(K696="",M696=""),"",IF(C696="STATS_ONLY","stats",IF(ROUND(K696/M696,2)=E696,"OK","CHECK")))</f>
        <v/>
      </c>
      <c r="O696" s="3" t="str">
        <f aca="false">TEXT(D696,"yyyy-mm")</f>
        <v>2025-11</v>
      </c>
      <c r="P696" s="13" t="s">
        <v>169</v>
      </c>
    </row>
    <row r="697" customFormat="false" ht="15" hidden="false" customHeight="false" outlineLevel="0" collapsed="false">
      <c r="A697" s="5" t="s">
        <v>73</v>
      </c>
      <c r="B697" s="5" t="n">
        <v>1401</v>
      </c>
      <c r="C697" s="5" t="s">
        <v>358</v>
      </c>
      <c r="D697" s="14" t="n">
        <v>45963</v>
      </c>
      <c r="E697" s="15" t="n">
        <v>180</v>
      </c>
      <c r="F697" s="5" t="s">
        <v>357</v>
      </c>
      <c r="G697" s="5" t="s">
        <v>167</v>
      </c>
      <c r="H697" s="5" t="s">
        <v>167</v>
      </c>
      <c r="I697" s="5" t="s">
        <v>168</v>
      </c>
      <c r="J697" s="5"/>
      <c r="K697" s="16"/>
      <c r="L697" s="5"/>
      <c r="M697" s="17"/>
      <c r="N697" s="3" t="str">
        <f aca="false">IF(OR(K697="",M697=""),"",IF(C697="STATS_ONLY","stats",IF(ROUND(K697/M697,2)=E697,"OK","CHECK")))</f>
        <v/>
      </c>
      <c r="O697" s="3" t="str">
        <f aca="false">TEXT(D697,"yyyy-mm")</f>
        <v>2025-11</v>
      </c>
      <c r="P697" s="13" t="s">
        <v>170</v>
      </c>
    </row>
    <row r="698" customFormat="false" ht="15" hidden="false" customHeight="false" outlineLevel="0" collapsed="false">
      <c r="A698" s="5" t="s">
        <v>73</v>
      </c>
      <c r="B698" s="5" t="n">
        <v>1401</v>
      </c>
      <c r="C698" s="5" t="s">
        <v>358</v>
      </c>
      <c r="D698" s="14" t="n">
        <v>46054</v>
      </c>
      <c r="E698" s="15" t="n">
        <v>-180</v>
      </c>
      <c r="F698" s="5" t="s">
        <v>359</v>
      </c>
      <c r="G698" s="5" t="s">
        <v>178</v>
      </c>
      <c r="H698" s="5" t="s">
        <v>189</v>
      </c>
      <c r="I698" s="5" t="s">
        <v>190</v>
      </c>
      <c r="J698" s="5" t="s">
        <v>191</v>
      </c>
      <c r="K698" s="16" t="n">
        <v>-5400000</v>
      </c>
      <c r="L698" s="5" t="s">
        <v>260</v>
      </c>
      <c r="M698" s="17" t="n">
        <v>30000</v>
      </c>
      <c r="N698" s="3" t="str">
        <f aca="false">IF(OR(K698="",M698=""),"",IF(C698="STATS_ONLY","stats",IF(ROUND(K698/M698,2)=E698,"OK","CHECK")))</f>
        <v>OK</v>
      </c>
      <c r="O698" s="3" t="str">
        <f aca="false">TEXT(D698,"yyyy-mm")</f>
        <v>2026-02</v>
      </c>
      <c r="P698" s="13" t="s">
        <v>360</v>
      </c>
    </row>
    <row r="699" customFormat="false" ht="15" hidden="false" customHeight="false" outlineLevel="0" collapsed="false">
      <c r="A699" s="5" t="s">
        <v>76</v>
      </c>
      <c r="B699" s="5" t="n">
        <v>1501</v>
      </c>
      <c r="C699" s="5" t="s">
        <v>152</v>
      </c>
      <c r="D699" s="14" t="n">
        <v>46091</v>
      </c>
      <c r="E699" s="15" t="n">
        <v>-820</v>
      </c>
      <c r="F699" s="5" t="s">
        <v>361</v>
      </c>
      <c r="G699" s="5" t="s">
        <v>167</v>
      </c>
      <c r="H699" s="5" t="s">
        <v>167</v>
      </c>
      <c r="I699" s="5" t="s">
        <v>168</v>
      </c>
      <c r="J699" s="5"/>
      <c r="K699" s="16"/>
      <c r="L699" s="5"/>
      <c r="M699" s="17"/>
      <c r="N699" s="3" t="str">
        <f aca="false">IF(OR(K699="",M699=""),"",IF(C699="STATS_ONLY","stats",IF(ROUND(K699/M699,2)=E699,"OK","CHECK")))</f>
        <v/>
      </c>
      <c r="O699" s="3" t="str">
        <f aca="false">TEXT(D699,"yyyy-mm")</f>
        <v>2026-03</v>
      </c>
      <c r="P699" s="13" t="s">
        <v>169</v>
      </c>
    </row>
    <row r="700" customFormat="false" ht="15" hidden="false" customHeight="false" outlineLevel="0" collapsed="false">
      <c r="A700" s="5" t="s">
        <v>76</v>
      </c>
      <c r="B700" s="5" t="n">
        <v>1501</v>
      </c>
      <c r="C700" s="5" t="s">
        <v>358</v>
      </c>
      <c r="D700" s="14" t="n">
        <v>46091</v>
      </c>
      <c r="E700" s="15" t="n">
        <v>820</v>
      </c>
      <c r="F700" s="5" t="s">
        <v>361</v>
      </c>
      <c r="G700" s="5" t="s">
        <v>167</v>
      </c>
      <c r="H700" s="5" t="s">
        <v>167</v>
      </c>
      <c r="I700" s="5" t="s">
        <v>168</v>
      </c>
      <c r="J700" s="5"/>
      <c r="K700" s="16"/>
      <c r="L700" s="5"/>
      <c r="M700" s="17"/>
      <c r="N700" s="3" t="str">
        <f aca="false">IF(OR(K700="",M700=""),"",IF(C700="STATS_ONLY","stats",IF(ROUND(K700/M700,2)=E700,"OK","CHECK")))</f>
        <v/>
      </c>
      <c r="O700" s="3" t="str">
        <f aca="false">TEXT(D700,"yyyy-mm")</f>
        <v>2026-03</v>
      </c>
      <c r="P700" s="13" t="s">
        <v>170</v>
      </c>
    </row>
    <row r="701" customFormat="false" ht="15" hidden="false" customHeight="false" outlineLevel="0" collapsed="false">
      <c r="A701" s="5" t="s">
        <v>76</v>
      </c>
      <c r="B701" s="5" t="n">
        <v>1502</v>
      </c>
      <c r="C701" s="5" t="s">
        <v>358</v>
      </c>
      <c r="D701" s="14" t="n">
        <v>46157</v>
      </c>
      <c r="E701" s="15" t="n">
        <v>-600</v>
      </c>
      <c r="F701" s="5" t="s">
        <v>362</v>
      </c>
      <c r="G701" s="5" t="s">
        <v>167</v>
      </c>
      <c r="H701" s="5" t="s">
        <v>167</v>
      </c>
      <c r="I701" s="5" t="s">
        <v>168</v>
      </c>
      <c r="J701" s="5"/>
      <c r="K701" s="16"/>
      <c r="L701" s="5"/>
      <c r="M701" s="17"/>
      <c r="N701" s="3" t="str">
        <f aca="false">IF(OR(K701="",M701=""),"",IF(C701="STATS_ONLY","stats",IF(ROUND(K701/M701,2)=E701,"OK","CHECK")))</f>
        <v/>
      </c>
      <c r="O701" s="3" t="str">
        <f aca="false">TEXT(D701,"yyyy-mm")</f>
        <v>2026-05</v>
      </c>
      <c r="P701" s="13" t="s">
        <v>169</v>
      </c>
    </row>
    <row r="702" customFormat="false" ht="15" hidden="false" customHeight="false" outlineLevel="0" collapsed="false">
      <c r="A702" s="5" t="s">
        <v>76</v>
      </c>
      <c r="B702" s="5" t="n">
        <v>1502</v>
      </c>
      <c r="C702" s="5" t="s">
        <v>363</v>
      </c>
      <c r="D702" s="14" t="n">
        <v>46157</v>
      </c>
      <c r="E702" s="15" t="n">
        <v>600</v>
      </c>
      <c r="F702" s="5" t="s">
        <v>362</v>
      </c>
      <c r="G702" s="5" t="s">
        <v>167</v>
      </c>
      <c r="H702" s="5" t="s">
        <v>167</v>
      </c>
      <c r="I702" s="5" t="s">
        <v>168</v>
      </c>
      <c r="J702" s="5"/>
      <c r="K702" s="16"/>
      <c r="L702" s="5"/>
      <c r="M702" s="17"/>
      <c r="N702" s="3" t="str">
        <f aca="false">IF(OR(K702="",M702=""),"",IF(C702="STATS_ONLY","stats",IF(ROUND(K702/M702,2)=E702,"OK","CHECK")))</f>
        <v/>
      </c>
      <c r="O702" s="3" t="str">
        <f aca="false">TEXT(D702,"yyyy-mm")</f>
        <v>2026-05</v>
      </c>
      <c r="P702" s="13" t="s">
        <v>170</v>
      </c>
    </row>
    <row r="703" customFormat="false" ht="15" hidden="false" customHeight="false" outlineLevel="0" collapsed="false">
      <c r="A703" s="5" t="s">
        <v>76</v>
      </c>
      <c r="B703" s="5" t="n">
        <v>1503</v>
      </c>
      <c r="C703" s="5" t="s">
        <v>358</v>
      </c>
      <c r="D703" s="14" t="n">
        <v>46157</v>
      </c>
      <c r="E703" s="15" t="n">
        <v>-220</v>
      </c>
      <c r="F703" s="5" t="s">
        <v>364</v>
      </c>
      <c r="G703" s="5" t="s">
        <v>178</v>
      </c>
      <c r="H703" s="5" t="s">
        <v>365</v>
      </c>
      <c r="I703" s="5" t="s">
        <v>366</v>
      </c>
      <c r="J703" s="5" t="s">
        <v>191</v>
      </c>
      <c r="K703" s="16"/>
      <c r="L703" s="5"/>
      <c r="M703" s="17"/>
      <c r="N703" s="3" t="str">
        <f aca="false">IF(OR(K703="",M703=""),"",IF(C703="STATS_ONLY","stats",IF(ROUND(K703/M703,2)=E703,"OK","CHECK")))</f>
        <v/>
      </c>
      <c r="O703" s="3" t="str">
        <f aca="false">TEXT(D703,"yyyy-mm")</f>
        <v>2026-05</v>
      </c>
      <c r="P703" s="13" t="s">
        <v>367</v>
      </c>
    </row>
    <row r="704" customFormat="false" ht="15" hidden="false" customHeight="false" outlineLevel="0" collapsed="false">
      <c r="A704" s="5" t="s">
        <v>76</v>
      </c>
      <c r="B704" s="5" t="n">
        <v>1504</v>
      </c>
      <c r="C704" s="5" t="s">
        <v>363</v>
      </c>
      <c r="D704" s="14" t="n">
        <v>46160</v>
      </c>
      <c r="E704" s="15" t="n">
        <v>-600</v>
      </c>
      <c r="F704" s="5" t="s">
        <v>368</v>
      </c>
      <c r="G704" s="5" t="s">
        <v>167</v>
      </c>
      <c r="H704" s="5" t="s">
        <v>167</v>
      </c>
      <c r="I704" s="5" t="s">
        <v>168</v>
      </c>
      <c r="J704" s="5"/>
      <c r="K704" s="16"/>
      <c r="L704" s="5"/>
      <c r="M704" s="17"/>
      <c r="N704" s="3" t="str">
        <f aca="false">IF(OR(K704="",M704=""),"",IF(C704="STATS_ONLY","stats",IF(ROUND(K704/M704,2)=E704,"OK","CHECK")))</f>
        <v/>
      </c>
      <c r="O704" s="3" t="str">
        <f aca="false">TEXT(D704,"yyyy-mm")</f>
        <v>2026-05</v>
      </c>
      <c r="P704" s="13" t="s">
        <v>169</v>
      </c>
    </row>
    <row r="705" customFormat="false" ht="15" hidden="false" customHeight="false" outlineLevel="0" collapsed="false">
      <c r="A705" s="5" t="s">
        <v>76</v>
      </c>
      <c r="B705" s="5" t="n">
        <v>1504</v>
      </c>
      <c r="C705" s="5" t="s">
        <v>152</v>
      </c>
      <c r="D705" s="14" t="n">
        <v>46160</v>
      </c>
      <c r="E705" s="15" t="n">
        <v>600</v>
      </c>
      <c r="F705" s="5" t="s">
        <v>368</v>
      </c>
      <c r="G705" s="5" t="s">
        <v>167</v>
      </c>
      <c r="H705" s="5" t="s">
        <v>167</v>
      </c>
      <c r="I705" s="5" t="s">
        <v>168</v>
      </c>
      <c r="J705" s="5"/>
      <c r="K705" s="16"/>
      <c r="L705" s="5"/>
      <c r="M705" s="17"/>
      <c r="N705" s="3" t="str">
        <f aca="false">IF(OR(K705="",M705=""),"",IF(C705="STATS_ONLY","stats",IF(ROUND(K705/M705,2)=E705,"OK","CHECK")))</f>
        <v/>
      </c>
      <c r="O705" s="3" t="str">
        <f aca="false">TEXT(D705,"yyyy-mm")</f>
        <v>2026-05</v>
      </c>
      <c r="P705" s="13" t="s">
        <v>170</v>
      </c>
    </row>
    <row r="706" customFormat="false" ht="15" hidden="false" customHeight="false" outlineLevel="0" collapsed="false">
      <c r="A706" s="5" t="s">
        <v>79</v>
      </c>
      <c r="B706" s="5" t="n">
        <v>1601</v>
      </c>
      <c r="C706" s="5" t="s">
        <v>152</v>
      </c>
      <c r="D706" s="14" t="n">
        <v>46152</v>
      </c>
      <c r="E706" s="15" t="n">
        <v>-150</v>
      </c>
      <c r="F706" s="5" t="s">
        <v>369</v>
      </c>
      <c r="G706" s="5" t="s">
        <v>167</v>
      </c>
      <c r="H706" s="5" t="s">
        <v>167</v>
      </c>
      <c r="I706" s="5" t="s">
        <v>168</v>
      </c>
      <c r="J706" s="5"/>
      <c r="K706" s="16"/>
      <c r="L706" s="5"/>
      <c r="M706" s="17"/>
      <c r="N706" s="3" t="str">
        <f aca="false">IF(OR(K706="",M706=""),"",IF(C706="STATS_ONLY","stats",IF(ROUND(K706/M706,2)=E706,"OK","CHECK")))</f>
        <v/>
      </c>
      <c r="O706" s="3" t="str">
        <f aca="false">TEXT(D706,"yyyy-mm")</f>
        <v>2026-05</v>
      </c>
      <c r="P706" s="13" t="s">
        <v>169</v>
      </c>
    </row>
    <row r="707" customFormat="false" ht="15" hidden="false" customHeight="false" outlineLevel="0" collapsed="false">
      <c r="A707" s="5" t="s">
        <v>79</v>
      </c>
      <c r="B707" s="5" t="n">
        <v>1601</v>
      </c>
      <c r="C707" s="5" t="s">
        <v>370</v>
      </c>
      <c r="D707" s="14" t="n">
        <v>46152</v>
      </c>
      <c r="E707" s="15" t="n">
        <v>150</v>
      </c>
      <c r="F707" s="5" t="s">
        <v>369</v>
      </c>
      <c r="G707" s="5" t="s">
        <v>167</v>
      </c>
      <c r="H707" s="5" t="s">
        <v>167</v>
      </c>
      <c r="I707" s="5" t="s">
        <v>168</v>
      </c>
      <c r="J707" s="5"/>
      <c r="K707" s="16"/>
      <c r="L707" s="5"/>
      <c r="M707" s="17"/>
      <c r="N707" s="3" t="str">
        <f aca="false">IF(OR(K707="",M707=""),"",IF(C707="STATS_ONLY","stats",IF(ROUND(K707/M707,2)=E707,"OK","CHECK")))</f>
        <v/>
      </c>
      <c r="O707" s="3" t="str">
        <f aca="false">TEXT(D707,"yyyy-mm")</f>
        <v>2026-05</v>
      </c>
      <c r="P707" s="13" t="s">
        <v>170</v>
      </c>
    </row>
    <row r="708" customFormat="false" ht="15" hidden="false" customHeight="false" outlineLevel="0" collapsed="false">
      <c r="A708" s="5" t="s">
        <v>79</v>
      </c>
      <c r="B708" s="5" t="n">
        <v>1602</v>
      </c>
      <c r="C708" s="5" t="s">
        <v>370</v>
      </c>
      <c r="D708" s="14" t="n">
        <v>46173</v>
      </c>
      <c r="E708" s="15" t="n">
        <v>-18.2</v>
      </c>
      <c r="F708" s="5" t="s">
        <v>371</v>
      </c>
      <c r="G708" s="5" t="s">
        <v>372</v>
      </c>
      <c r="H708" s="5" t="s">
        <v>372</v>
      </c>
      <c r="I708" s="5" t="s">
        <v>373</v>
      </c>
      <c r="J708" s="5"/>
      <c r="K708" s="16"/>
      <c r="L708" s="5"/>
      <c r="M708" s="17"/>
      <c r="N708" s="3" t="str">
        <f aca="false">IF(OR(K708="",M708=""),"",IF(C708="STATS_ONLY","stats",IF(ROUND(K708/M708,2)=E708,"OK","CHECK")))</f>
        <v/>
      </c>
      <c r="O708" s="3" t="str">
        <f aca="false">TEXT(D708,"yyyy-mm")</f>
        <v>2026-05</v>
      </c>
      <c r="P708" s="13"/>
    </row>
    <row r="709" customFormat="false" ht="15" hidden="false" customHeight="false" outlineLevel="0" collapsed="false">
      <c r="A709" s="5" t="s">
        <v>79</v>
      </c>
      <c r="B709" s="5" t="n">
        <v>1603</v>
      </c>
      <c r="C709" s="5" t="s">
        <v>370</v>
      </c>
      <c r="D709" s="14" t="n">
        <v>46203</v>
      </c>
      <c r="E709" s="15" t="n">
        <v>6.4</v>
      </c>
      <c r="F709" s="5" t="s">
        <v>371</v>
      </c>
      <c r="G709" s="5" t="s">
        <v>372</v>
      </c>
      <c r="H709" s="5" t="s">
        <v>372</v>
      </c>
      <c r="I709" s="5" t="s">
        <v>373</v>
      </c>
      <c r="J709" s="5"/>
      <c r="K709" s="16"/>
      <c r="L709" s="5"/>
      <c r="M709" s="17"/>
      <c r="N709" s="3" t="str">
        <f aca="false">IF(OR(K709="",M709=""),"",IF(C709="STATS_ONLY","stats",IF(ROUND(K709/M709,2)=E709,"OK","CHECK")))</f>
        <v/>
      </c>
      <c r="O709" s="3" t="str">
        <f aca="false">TEXT(D709,"yyyy-mm")</f>
        <v>2026-06</v>
      </c>
      <c r="P709" s="13"/>
    </row>
    <row r="710" customFormat="false" ht="15" hidden="false" customHeight="false" outlineLevel="0" collapsed="false">
      <c r="A710" s="5" t="s">
        <v>82</v>
      </c>
      <c r="B710" s="5" t="n">
        <v>1701</v>
      </c>
      <c r="C710" s="5" t="s">
        <v>187</v>
      </c>
      <c r="D710" s="14" t="n">
        <v>46003</v>
      </c>
      <c r="E710" s="15" t="n">
        <v>-54.19</v>
      </c>
      <c r="F710" s="5" t="s">
        <v>374</v>
      </c>
      <c r="G710" s="5" t="s">
        <v>178</v>
      </c>
      <c r="H710" s="5" t="s">
        <v>179</v>
      </c>
      <c r="I710" s="5" t="s">
        <v>375</v>
      </c>
      <c r="J710" s="5" t="s">
        <v>206</v>
      </c>
      <c r="K710" s="16" t="n">
        <v>-2000</v>
      </c>
      <c r="L710" s="5" t="s">
        <v>192</v>
      </c>
      <c r="M710" s="17" t="n">
        <v>36.9103348937703</v>
      </c>
      <c r="N710" s="3" t="str">
        <f aca="false">IF(OR(K710="",M710=""),"",IF(C710="STATS_ONLY","stats",IF(ROUND(K710/M710,2)=E710,"OK","CHECK")))</f>
        <v>OK</v>
      </c>
      <c r="O710" s="3" t="str">
        <f aca="false">TEXT(D710,"yyyy-mm")</f>
        <v>2025-12</v>
      </c>
      <c r="P710" s="13" t="s">
        <v>376</v>
      </c>
    </row>
    <row r="711" customFormat="false" ht="15" hidden="false" customHeight="false" outlineLevel="0" collapsed="false">
      <c r="A711" s="5" t="s">
        <v>82</v>
      </c>
      <c r="B711" s="5" t="n">
        <v>1701</v>
      </c>
      <c r="C711" s="5" t="s">
        <v>348</v>
      </c>
      <c r="D711" s="14" t="n">
        <v>46011</v>
      </c>
      <c r="E711" s="15" t="n">
        <v>54.19</v>
      </c>
      <c r="F711" s="5" t="s">
        <v>377</v>
      </c>
      <c r="G711" s="5" t="s">
        <v>178</v>
      </c>
      <c r="H711" s="5" t="s">
        <v>179</v>
      </c>
      <c r="I711" s="5" t="s">
        <v>375</v>
      </c>
      <c r="J711" s="5"/>
      <c r="K711" s="16"/>
      <c r="L711" s="5"/>
      <c r="M711" s="17"/>
      <c r="N711" s="3" t="str">
        <f aca="false">IF(OR(K711="",M711=""),"",IF(C711="STATS_ONLY","stats",IF(ROUND(K711/M711,2)=E711,"OK","CHECK")))</f>
        <v/>
      </c>
      <c r="O711" s="3" t="str">
        <f aca="false">TEXT(D711,"yyyy-mm")</f>
        <v>2025-12</v>
      </c>
      <c r="P711" s="13" t="s">
        <v>378</v>
      </c>
    </row>
    <row r="712" customFormat="false" ht="15" hidden="false" customHeight="false" outlineLevel="0" collapsed="false">
      <c r="A712" s="5" t="s">
        <v>82</v>
      </c>
      <c r="B712" s="5" t="n">
        <v>1702</v>
      </c>
      <c r="C712" s="5" t="s">
        <v>348</v>
      </c>
      <c r="D712" s="14" t="n">
        <v>46086</v>
      </c>
      <c r="E712" s="15" t="n">
        <v>-54.19</v>
      </c>
      <c r="F712" s="5" t="s">
        <v>379</v>
      </c>
      <c r="G712" s="5" t="s">
        <v>167</v>
      </c>
      <c r="H712" s="5" t="s">
        <v>167</v>
      </c>
      <c r="I712" s="5" t="s">
        <v>168</v>
      </c>
      <c r="J712" s="5"/>
      <c r="K712" s="16"/>
      <c r="L712" s="5"/>
      <c r="M712" s="17"/>
      <c r="N712" s="3" t="str">
        <f aca="false">IF(OR(K712="",M712=""),"",IF(C712="STATS_ONLY","stats",IF(ROUND(K712/M712,2)=E712,"OK","CHECK")))</f>
        <v/>
      </c>
      <c r="O712" s="3" t="str">
        <f aca="false">TEXT(D712,"yyyy-mm")</f>
        <v>2026-03</v>
      </c>
      <c r="P712" s="13" t="s">
        <v>169</v>
      </c>
    </row>
    <row r="713" customFormat="false" ht="15" hidden="false" customHeight="false" outlineLevel="0" collapsed="false">
      <c r="A713" s="5" t="s">
        <v>82</v>
      </c>
      <c r="B713" s="5" t="n">
        <v>1702</v>
      </c>
      <c r="C713" s="5" t="s">
        <v>152</v>
      </c>
      <c r="D713" s="14" t="n">
        <v>46086</v>
      </c>
      <c r="E713" s="15" t="n">
        <v>54.19</v>
      </c>
      <c r="F713" s="5" t="s">
        <v>379</v>
      </c>
      <c r="G713" s="5" t="s">
        <v>167</v>
      </c>
      <c r="H713" s="5" t="s">
        <v>167</v>
      </c>
      <c r="I713" s="5" t="s">
        <v>168</v>
      </c>
      <c r="J713" s="5"/>
      <c r="K713" s="16"/>
      <c r="L713" s="5"/>
      <c r="M713" s="17"/>
      <c r="N713" s="3" t="str">
        <f aca="false">IF(OR(K713="",M713=""),"",IF(C713="STATS_ONLY","stats",IF(ROUND(K713/M713,2)=E713,"OK","CHECK")))</f>
        <v/>
      </c>
      <c r="O713" s="3" t="str">
        <f aca="false">TEXT(D713,"yyyy-mm")</f>
        <v>2026-03</v>
      </c>
      <c r="P713" s="13" t="s">
        <v>170</v>
      </c>
    </row>
    <row r="714" customFormat="false" ht="15" hidden="false" customHeight="false" outlineLevel="0" collapsed="false">
      <c r="A714" s="5" t="s">
        <v>86</v>
      </c>
      <c r="B714" s="5" t="n">
        <v>1801</v>
      </c>
      <c r="C714" s="5" t="s">
        <v>348</v>
      </c>
      <c r="D714" s="14" t="n">
        <v>46142</v>
      </c>
      <c r="E714" s="15" t="n">
        <v>1450</v>
      </c>
      <c r="F714" s="5" t="s">
        <v>380</v>
      </c>
      <c r="G714" s="5" t="s">
        <v>265</v>
      </c>
      <c r="H714" s="5" t="s">
        <v>310</v>
      </c>
      <c r="I714" s="5" t="s">
        <v>311</v>
      </c>
      <c r="J714" s="5"/>
      <c r="K714" s="16"/>
      <c r="L714" s="5"/>
      <c r="M714" s="17"/>
      <c r="N714" s="3" t="str">
        <f aca="false">IF(OR(K714="",M714=""),"",IF(C714="STATS_ONLY","stats",IF(ROUND(K714/M714,2)=E714,"OK","CHECK")))</f>
        <v/>
      </c>
      <c r="O714" s="3" t="str">
        <f aca="false">TEXT(D714,"yyyy-mm")</f>
        <v>2026-04</v>
      </c>
      <c r="P714" s="13" t="s">
        <v>381</v>
      </c>
    </row>
    <row r="715" customFormat="false" ht="15" hidden="false" customHeight="false" outlineLevel="0" collapsed="false">
      <c r="A715" s="5" t="s">
        <v>86</v>
      </c>
      <c r="B715" s="5" t="n">
        <v>1802</v>
      </c>
      <c r="C715" s="5" t="s">
        <v>348</v>
      </c>
      <c r="D715" s="14" t="n">
        <v>46145</v>
      </c>
      <c r="E715" s="15" t="n">
        <v>-1450</v>
      </c>
      <c r="F715" s="5" t="s">
        <v>382</v>
      </c>
      <c r="G715" s="5" t="s">
        <v>167</v>
      </c>
      <c r="H715" s="5" t="s">
        <v>167</v>
      </c>
      <c r="I715" s="5" t="s">
        <v>168</v>
      </c>
      <c r="J715" s="5"/>
      <c r="K715" s="16"/>
      <c r="L715" s="5"/>
      <c r="M715" s="17"/>
      <c r="N715" s="3" t="str">
        <f aca="false">IF(OR(K715="",M715=""),"",IF(C715="STATS_ONLY","stats",IF(ROUND(K715/M715,2)=E715,"OK","CHECK")))</f>
        <v/>
      </c>
      <c r="O715" s="3" t="str">
        <f aca="false">TEXT(D715,"yyyy-mm")</f>
        <v>2026-05</v>
      </c>
      <c r="P715" s="13" t="s">
        <v>169</v>
      </c>
    </row>
    <row r="716" customFormat="false" ht="15" hidden="false" customHeight="false" outlineLevel="0" collapsed="false">
      <c r="A716" s="5" t="s">
        <v>86</v>
      </c>
      <c r="B716" s="5" t="n">
        <v>1802</v>
      </c>
      <c r="C716" s="5" t="s">
        <v>152</v>
      </c>
      <c r="D716" s="14" t="n">
        <v>46145</v>
      </c>
      <c r="E716" s="15" t="n">
        <v>1450</v>
      </c>
      <c r="F716" s="5" t="s">
        <v>382</v>
      </c>
      <c r="G716" s="5" t="s">
        <v>167</v>
      </c>
      <c r="H716" s="5" t="s">
        <v>167</v>
      </c>
      <c r="I716" s="5" t="s">
        <v>168</v>
      </c>
      <c r="J716" s="5"/>
      <c r="K716" s="16"/>
      <c r="L716" s="5"/>
      <c r="M716" s="17"/>
      <c r="N716" s="3" t="str">
        <f aca="false">IF(OR(K716="",M716=""),"",IF(C716="STATS_ONLY","stats",IF(ROUND(K716/M716,2)=E716,"OK","CHECK")))</f>
        <v/>
      </c>
      <c r="O716" s="3" t="str">
        <f aca="false">TEXT(D716,"yyyy-mm")</f>
        <v>2026-05</v>
      </c>
      <c r="P716" s="13" t="s">
        <v>170</v>
      </c>
    </row>
    <row r="717" customFormat="false" ht="15" hidden="false" customHeight="false" outlineLevel="0" collapsed="false">
      <c r="A717" s="5" t="s">
        <v>89</v>
      </c>
      <c r="B717" s="5" t="n">
        <v>1901</v>
      </c>
      <c r="C717" s="5" t="s">
        <v>383</v>
      </c>
      <c r="D717" s="14" t="n">
        <v>46151</v>
      </c>
      <c r="E717" s="15" t="n">
        <v>-18.5</v>
      </c>
      <c r="F717" s="5" t="s">
        <v>384</v>
      </c>
      <c r="G717" s="5" t="s">
        <v>184</v>
      </c>
      <c r="H717" s="5" t="s">
        <v>306</v>
      </c>
      <c r="I717" s="5" t="s">
        <v>385</v>
      </c>
      <c r="J717" s="5"/>
      <c r="K717" s="16"/>
      <c r="L717" s="5"/>
      <c r="M717" s="17"/>
      <c r="N717" s="3" t="str">
        <f aca="false">IF(OR(K717="",M717=""),"",IF(C717="STATS_ONLY","stats",IF(ROUND(K717/M717,2)=E717,"OK","CHECK")))</f>
        <v/>
      </c>
      <c r="O717" s="3" t="str">
        <f aca="false">TEXT(D717,"yyyy-mm")</f>
        <v>2026-05</v>
      </c>
      <c r="P717" s="13" t="s">
        <v>386</v>
      </c>
    </row>
    <row r="718" customFormat="false" ht="15" hidden="false" customHeight="false" outlineLevel="0" collapsed="false">
      <c r="A718" s="5" t="s">
        <v>89</v>
      </c>
      <c r="B718" s="5" t="n">
        <v>1902</v>
      </c>
      <c r="C718" s="5" t="s">
        <v>152</v>
      </c>
      <c r="D718" s="14" t="n">
        <v>46154</v>
      </c>
      <c r="E718" s="15" t="n">
        <v>-18.5</v>
      </c>
      <c r="F718" s="5" t="s">
        <v>387</v>
      </c>
      <c r="G718" s="5" t="s">
        <v>167</v>
      </c>
      <c r="H718" s="5" t="s">
        <v>167</v>
      </c>
      <c r="I718" s="5" t="s">
        <v>168</v>
      </c>
      <c r="J718" s="5"/>
      <c r="K718" s="16"/>
      <c r="L718" s="5"/>
      <c r="M718" s="17"/>
      <c r="N718" s="3" t="str">
        <f aca="false">IF(OR(K718="",M718=""),"",IF(C718="STATS_ONLY","stats",IF(ROUND(K718/M718,2)=E718,"OK","CHECK")))</f>
        <v/>
      </c>
      <c r="O718" s="3" t="str">
        <f aca="false">TEXT(D718,"yyyy-mm")</f>
        <v>2026-05</v>
      </c>
      <c r="P718" s="13" t="s">
        <v>169</v>
      </c>
    </row>
    <row r="719" customFormat="false" ht="15" hidden="false" customHeight="false" outlineLevel="0" collapsed="false">
      <c r="A719" s="5" t="s">
        <v>89</v>
      </c>
      <c r="B719" s="5" t="n">
        <v>1902</v>
      </c>
      <c r="C719" s="5" t="s">
        <v>383</v>
      </c>
      <c r="D719" s="14" t="n">
        <v>46154</v>
      </c>
      <c r="E719" s="15" t="n">
        <v>18.5</v>
      </c>
      <c r="F719" s="5" t="s">
        <v>387</v>
      </c>
      <c r="G719" s="5" t="s">
        <v>167</v>
      </c>
      <c r="H719" s="5" t="s">
        <v>167</v>
      </c>
      <c r="I719" s="5" t="s">
        <v>168</v>
      </c>
      <c r="J719" s="5"/>
      <c r="K719" s="16"/>
      <c r="L719" s="5"/>
      <c r="M719" s="17"/>
      <c r="N719" s="3" t="str">
        <f aca="false">IF(OR(K719="",M719=""),"",IF(C719="STATS_ONLY","stats",IF(ROUND(K719/M719,2)=E719,"OK","CHECK")))</f>
        <v/>
      </c>
      <c r="O719" s="3" t="str">
        <f aca="false">TEXT(D719,"yyyy-mm")</f>
        <v>2026-05</v>
      </c>
      <c r="P719" s="13" t="s">
        <v>170</v>
      </c>
    </row>
    <row r="720" customFormat="false" ht="15" hidden="false" customHeight="false" outlineLevel="0" collapsed="false">
      <c r="A720" s="5" t="s">
        <v>92</v>
      </c>
      <c r="B720" s="5" t="n">
        <v>2001</v>
      </c>
      <c r="C720" s="5" t="s">
        <v>187</v>
      </c>
      <c r="D720" s="14" t="n">
        <v>46011</v>
      </c>
      <c r="E720" s="15" t="n">
        <v>-24.38</v>
      </c>
      <c r="F720" s="5" t="s">
        <v>388</v>
      </c>
      <c r="G720" s="5" t="s">
        <v>167</v>
      </c>
      <c r="H720" s="5" t="s">
        <v>167</v>
      </c>
      <c r="I720" s="5" t="s">
        <v>168</v>
      </c>
      <c r="J720" s="5"/>
      <c r="K720" s="16" t="n">
        <v>-900</v>
      </c>
      <c r="L720" s="5" t="s">
        <v>192</v>
      </c>
      <c r="M720" s="18" t="n">
        <f aca="false">K720/E720</f>
        <v>36.915504511895</v>
      </c>
      <c r="N720" s="3" t="str">
        <f aca="false">IF(OR(K720="",M720=""),"",IF(C720="STATS_ONLY","stats",IF(ROUND(K720/M720,2)=E720,"OK","CHECK")))</f>
        <v>OK</v>
      </c>
      <c r="O720" s="3" t="str">
        <f aca="false">TEXT(D720,"yyyy-mm")</f>
        <v>2025-12</v>
      </c>
      <c r="P720" s="13" t="s">
        <v>169</v>
      </c>
    </row>
    <row r="721" customFormat="false" ht="15" hidden="false" customHeight="false" outlineLevel="0" collapsed="false">
      <c r="A721" s="5" t="s">
        <v>92</v>
      </c>
      <c r="B721" s="5" t="n">
        <v>2001</v>
      </c>
      <c r="C721" s="5" t="s">
        <v>389</v>
      </c>
      <c r="D721" s="14" t="n">
        <v>46011</v>
      </c>
      <c r="E721" s="15" t="n">
        <v>24.38</v>
      </c>
      <c r="F721" s="5" t="s">
        <v>388</v>
      </c>
      <c r="G721" s="5" t="s">
        <v>167</v>
      </c>
      <c r="H721" s="5" t="s">
        <v>167</v>
      </c>
      <c r="I721" s="5" t="s">
        <v>168</v>
      </c>
      <c r="J721" s="5"/>
      <c r="K721" s="16"/>
      <c r="L721" s="5"/>
      <c r="M721" s="17"/>
      <c r="N721" s="3" t="str">
        <f aca="false">IF(OR(K721="",M721=""),"",IF(C721="STATS_ONLY","stats",IF(ROUND(K721/M721,2)=E721,"OK","CHECK")))</f>
        <v/>
      </c>
      <c r="O721" s="3" t="str">
        <f aca="false">TEXT(D721,"yyyy-mm")</f>
        <v>2025-12</v>
      </c>
      <c r="P721" s="13" t="s">
        <v>170</v>
      </c>
    </row>
    <row r="722" customFormat="false" ht="15" hidden="false" customHeight="false" outlineLevel="0" collapsed="false">
      <c r="A722" s="5" t="s">
        <v>92</v>
      </c>
      <c r="B722" s="5" t="n">
        <v>2002</v>
      </c>
      <c r="C722" s="5" t="s">
        <v>389</v>
      </c>
      <c r="D722" s="14" t="n">
        <v>46055</v>
      </c>
      <c r="E722" s="15" t="n">
        <v>-24</v>
      </c>
      <c r="F722" s="5" t="s">
        <v>390</v>
      </c>
      <c r="G722" s="5" t="s">
        <v>167</v>
      </c>
      <c r="H722" s="5" t="s">
        <v>167</v>
      </c>
      <c r="I722" s="5" t="s">
        <v>168</v>
      </c>
      <c r="J722" s="5"/>
      <c r="K722" s="16"/>
      <c r="L722" s="5"/>
      <c r="M722" s="17"/>
      <c r="N722" s="3" t="str">
        <f aca="false">IF(OR(K722="",M722=""),"",IF(C722="STATS_ONLY","stats",IF(ROUND(K722/M722,2)=E722,"OK","CHECK")))</f>
        <v/>
      </c>
      <c r="O722" s="3" t="str">
        <f aca="false">TEXT(D722,"yyyy-mm")</f>
        <v>2026-02</v>
      </c>
      <c r="P722" s="13" t="s">
        <v>169</v>
      </c>
    </row>
    <row r="723" customFormat="false" ht="15" hidden="false" customHeight="false" outlineLevel="0" collapsed="false">
      <c r="A723" s="5" t="s">
        <v>92</v>
      </c>
      <c r="B723" s="5" t="n">
        <v>2002</v>
      </c>
      <c r="C723" s="5" t="s">
        <v>152</v>
      </c>
      <c r="D723" s="14" t="n">
        <v>46055</v>
      </c>
      <c r="E723" s="15" t="n">
        <v>24</v>
      </c>
      <c r="F723" s="5" t="s">
        <v>390</v>
      </c>
      <c r="G723" s="5" t="s">
        <v>167</v>
      </c>
      <c r="H723" s="5" t="s">
        <v>167</v>
      </c>
      <c r="I723" s="5" t="s">
        <v>168</v>
      </c>
      <c r="J723" s="5"/>
      <c r="K723" s="16"/>
      <c r="L723" s="5"/>
      <c r="M723" s="17"/>
      <c r="N723" s="3" t="str">
        <f aca="false">IF(OR(K723="",M723=""),"",IF(C723="STATS_ONLY","stats",IF(ROUND(K723/M723,2)=E723,"OK","CHECK")))</f>
        <v/>
      </c>
      <c r="O723" s="3" t="str">
        <f aca="false">TEXT(D723,"yyyy-mm")</f>
        <v>2026-02</v>
      </c>
      <c r="P723" s="13" t="s">
        <v>170</v>
      </c>
    </row>
    <row r="724" customFormat="false" ht="15" hidden="false" customHeight="false" outlineLevel="0" collapsed="false">
      <c r="A724" s="5" t="s">
        <v>92</v>
      </c>
      <c r="B724" s="5" t="n">
        <v>2003</v>
      </c>
      <c r="C724" s="5" t="s">
        <v>389</v>
      </c>
      <c r="D724" s="14" t="n">
        <v>46055</v>
      </c>
      <c r="E724" s="15" t="n">
        <v>-0.38</v>
      </c>
      <c r="F724" s="5" t="s">
        <v>391</v>
      </c>
      <c r="G724" s="5" t="s">
        <v>167</v>
      </c>
      <c r="H724" s="5" t="s">
        <v>167</v>
      </c>
      <c r="I724" s="5" t="s">
        <v>168</v>
      </c>
      <c r="J724" s="5"/>
      <c r="K724" s="16"/>
      <c r="L724" s="5"/>
      <c r="M724" s="17"/>
      <c r="N724" s="3" t="str">
        <f aca="false">IF(OR(K724="",M724=""),"",IF(C724="STATS_ONLY","stats",IF(ROUND(K724/M724,2)=E724,"OK","CHECK")))</f>
        <v/>
      </c>
      <c r="O724" s="3" t="str">
        <f aca="false">TEXT(D724,"yyyy-mm")</f>
        <v>2026-02</v>
      </c>
      <c r="P724" s="13" t="s">
        <v>169</v>
      </c>
    </row>
    <row r="725" customFormat="false" ht="15" hidden="false" customHeight="false" outlineLevel="0" collapsed="false">
      <c r="A725" s="5" t="s">
        <v>92</v>
      </c>
      <c r="B725" s="5" t="n">
        <v>2003</v>
      </c>
      <c r="C725" s="5" t="s">
        <v>392</v>
      </c>
      <c r="D725" s="14" t="n">
        <v>46055</v>
      </c>
      <c r="E725" s="15" t="n">
        <v>0.38</v>
      </c>
      <c r="F725" s="5" t="s">
        <v>391</v>
      </c>
      <c r="G725" s="5" t="s">
        <v>167</v>
      </c>
      <c r="H725" s="5" t="s">
        <v>167</v>
      </c>
      <c r="I725" s="5" t="s">
        <v>168</v>
      </c>
      <c r="J725" s="5"/>
      <c r="K725" s="16"/>
      <c r="L725" s="5"/>
      <c r="M725" s="17"/>
      <c r="N725" s="3" t="str">
        <f aca="false">IF(OR(K725="",M725=""),"",IF(C725="STATS_ONLY","stats",IF(ROUND(K725/M725,2)=E725,"OK","CHECK")))</f>
        <v/>
      </c>
      <c r="O725" s="3" t="str">
        <f aca="false">TEXT(D725,"yyyy-mm")</f>
        <v>2026-02</v>
      </c>
      <c r="P725" s="13" t="s">
        <v>170</v>
      </c>
    </row>
    <row r="726" customFormat="false" ht="15" hidden="false" customHeight="false" outlineLevel="0" collapsed="false">
      <c r="A726" s="5" t="s">
        <v>95</v>
      </c>
      <c r="B726" s="5" t="n">
        <v>2101</v>
      </c>
      <c r="C726" s="5" t="s">
        <v>152</v>
      </c>
      <c r="D726" s="14" t="n">
        <v>46147</v>
      </c>
      <c r="E726" s="15" t="n">
        <v>-300</v>
      </c>
      <c r="F726" s="5" t="s">
        <v>393</v>
      </c>
      <c r="G726" s="5" t="s">
        <v>167</v>
      </c>
      <c r="H726" s="5" t="s">
        <v>167</v>
      </c>
      <c r="I726" s="5" t="s">
        <v>168</v>
      </c>
      <c r="J726" s="5"/>
      <c r="K726" s="16"/>
      <c r="L726" s="5"/>
      <c r="M726" s="17"/>
      <c r="N726" s="3" t="str">
        <f aca="false">IF(OR(K726="",M726=""),"",IF(C726="STATS_ONLY","stats",IF(ROUND(K726/M726,2)=E726,"OK","CHECK")))</f>
        <v/>
      </c>
      <c r="O726" s="3" t="str">
        <f aca="false">TEXT(D726,"yyyy-mm")</f>
        <v>2026-05</v>
      </c>
      <c r="P726" s="13" t="s">
        <v>169</v>
      </c>
    </row>
    <row r="727" customFormat="false" ht="15" hidden="false" customHeight="false" outlineLevel="0" collapsed="false">
      <c r="A727" s="5" t="s">
        <v>95</v>
      </c>
      <c r="B727" s="5" t="n">
        <v>2101</v>
      </c>
      <c r="C727" s="5" t="s">
        <v>389</v>
      </c>
      <c r="D727" s="14" t="n">
        <v>46147</v>
      </c>
      <c r="E727" s="15" t="n">
        <v>300</v>
      </c>
      <c r="F727" s="5" t="s">
        <v>393</v>
      </c>
      <c r="G727" s="5" t="s">
        <v>167</v>
      </c>
      <c r="H727" s="5" t="s">
        <v>167</v>
      </c>
      <c r="I727" s="5" t="s">
        <v>168</v>
      </c>
      <c r="J727" s="5"/>
      <c r="K727" s="16"/>
      <c r="L727" s="5"/>
      <c r="M727" s="17"/>
      <c r="N727" s="3" t="str">
        <f aca="false">IF(OR(K727="",M727=""),"",IF(C727="STATS_ONLY","stats",IF(ROUND(K727/M727,2)=E727,"OK","CHECK")))</f>
        <v/>
      </c>
      <c r="O727" s="3" t="str">
        <f aca="false">TEXT(D727,"yyyy-mm")</f>
        <v>2026-05</v>
      </c>
      <c r="P727" s="13" t="s">
        <v>170</v>
      </c>
    </row>
    <row r="728" customFormat="false" ht="15" hidden="false" customHeight="false" outlineLevel="0" collapsed="false">
      <c r="A728" s="5" t="s">
        <v>95</v>
      </c>
      <c r="B728" s="5" t="n">
        <v>2102</v>
      </c>
      <c r="C728" s="5" t="s">
        <v>389</v>
      </c>
      <c r="D728" s="14" t="n">
        <v>46174</v>
      </c>
      <c r="E728" s="15" t="n">
        <v>-250</v>
      </c>
      <c r="F728" s="5" t="s">
        <v>394</v>
      </c>
      <c r="G728" s="5" t="s">
        <v>167</v>
      </c>
      <c r="H728" s="5" t="s">
        <v>167</v>
      </c>
      <c r="I728" s="5" t="s">
        <v>168</v>
      </c>
      <c r="J728" s="5"/>
      <c r="K728" s="16"/>
      <c r="L728" s="5"/>
      <c r="M728" s="17"/>
      <c r="N728" s="3" t="str">
        <f aca="false">IF(OR(K728="",M728=""),"",IF(C728="STATS_ONLY","stats",IF(ROUND(K728/M728,2)=E728,"OK","CHECK")))</f>
        <v/>
      </c>
      <c r="O728" s="3" t="str">
        <f aca="false">TEXT(D728,"yyyy-mm")</f>
        <v>2026-06</v>
      </c>
      <c r="P728" s="13" t="s">
        <v>169</v>
      </c>
    </row>
    <row r="729" customFormat="false" ht="15" hidden="false" customHeight="false" outlineLevel="0" collapsed="false">
      <c r="A729" s="5" t="s">
        <v>95</v>
      </c>
      <c r="B729" s="5" t="n">
        <v>2102</v>
      </c>
      <c r="C729" s="5" t="s">
        <v>152</v>
      </c>
      <c r="D729" s="14" t="n">
        <v>46174</v>
      </c>
      <c r="E729" s="15" t="n">
        <v>250</v>
      </c>
      <c r="F729" s="5" t="s">
        <v>394</v>
      </c>
      <c r="G729" s="5" t="s">
        <v>167</v>
      </c>
      <c r="H729" s="5" t="s">
        <v>167</v>
      </c>
      <c r="I729" s="5" t="s">
        <v>168</v>
      </c>
      <c r="J729" s="5"/>
      <c r="K729" s="16"/>
      <c r="L729" s="5"/>
      <c r="M729" s="17"/>
      <c r="N729" s="3" t="str">
        <f aca="false">IF(OR(K729="",M729=""),"",IF(C729="STATS_ONLY","stats",IF(ROUND(K729/M729,2)=E729,"OK","CHECK")))</f>
        <v/>
      </c>
      <c r="O729" s="3" t="str">
        <f aca="false">TEXT(D729,"yyyy-mm")</f>
        <v>2026-06</v>
      </c>
      <c r="P729" s="13" t="s">
        <v>170</v>
      </c>
    </row>
    <row r="730" customFormat="false" ht="15" hidden="false" customHeight="false" outlineLevel="0" collapsed="false">
      <c r="A730" s="5" t="s">
        <v>95</v>
      </c>
      <c r="B730" s="5" t="n">
        <v>2103</v>
      </c>
      <c r="C730" s="5" t="s">
        <v>389</v>
      </c>
      <c r="D730" s="14" t="n">
        <v>46175</v>
      </c>
      <c r="E730" s="15" t="n">
        <v>-50</v>
      </c>
      <c r="F730" s="5" t="s">
        <v>395</v>
      </c>
      <c r="G730" s="5" t="s">
        <v>184</v>
      </c>
      <c r="H730" s="5" t="s">
        <v>301</v>
      </c>
      <c r="I730" s="5" t="s">
        <v>396</v>
      </c>
      <c r="J730" s="5"/>
      <c r="K730" s="16"/>
      <c r="L730" s="5"/>
      <c r="M730" s="17"/>
      <c r="N730" s="3" t="str">
        <f aca="false">IF(OR(K730="",M730=""),"",IF(C730="STATS_ONLY","stats",IF(ROUND(K730/M730,2)=E730,"OK","CHECK")))</f>
        <v/>
      </c>
      <c r="O730" s="3" t="str">
        <f aca="false">TEXT(D730,"yyyy-mm")</f>
        <v>2026-06</v>
      </c>
      <c r="P730" s="13" t="s">
        <v>397</v>
      </c>
    </row>
    <row r="731" customFormat="false" ht="15" hidden="false" customHeight="false" outlineLevel="0" collapsed="false">
      <c r="A731" s="5" t="s">
        <v>98</v>
      </c>
      <c r="B731" s="5" t="n">
        <v>2201</v>
      </c>
      <c r="C731" s="5" t="s">
        <v>259</v>
      </c>
      <c r="D731" s="14" t="n">
        <v>46030</v>
      </c>
      <c r="E731" s="15" t="n">
        <v>-20</v>
      </c>
      <c r="F731" s="5" t="s">
        <v>398</v>
      </c>
      <c r="G731" s="5" t="s">
        <v>167</v>
      </c>
      <c r="H731" s="5" t="s">
        <v>167</v>
      </c>
      <c r="I731" s="5" t="s">
        <v>168</v>
      </c>
      <c r="J731" s="5"/>
      <c r="K731" s="16" t="n">
        <v>-600000</v>
      </c>
      <c r="L731" s="5" t="s">
        <v>260</v>
      </c>
      <c r="M731" s="18" t="n">
        <f aca="false">K731/E731</f>
        <v>30000</v>
      </c>
      <c r="N731" s="3" t="str">
        <f aca="false">IF(OR(K731="",M731=""),"",IF(C731="STATS_ONLY","stats",IF(ROUND(K731/M731,2)=E731,"OK","CHECK")))</f>
        <v>OK</v>
      </c>
      <c r="O731" s="3" t="str">
        <f aca="false">TEXT(D731,"yyyy-mm")</f>
        <v>2026-01</v>
      </c>
      <c r="P731" s="13" t="s">
        <v>169</v>
      </c>
    </row>
    <row r="732" customFormat="false" ht="15" hidden="false" customHeight="false" outlineLevel="0" collapsed="false">
      <c r="A732" s="5" t="s">
        <v>98</v>
      </c>
      <c r="B732" s="5" t="n">
        <v>2201</v>
      </c>
      <c r="C732" s="5" t="s">
        <v>399</v>
      </c>
      <c r="D732" s="14" t="n">
        <v>46030</v>
      </c>
      <c r="E732" s="15" t="n">
        <v>20</v>
      </c>
      <c r="F732" s="5" t="s">
        <v>398</v>
      </c>
      <c r="G732" s="5" t="s">
        <v>167</v>
      </c>
      <c r="H732" s="5" t="s">
        <v>167</v>
      </c>
      <c r="I732" s="5" t="s">
        <v>168</v>
      </c>
      <c r="J732" s="5"/>
      <c r="K732" s="16" t="n">
        <v>600000</v>
      </c>
      <c r="L732" s="5" t="s">
        <v>260</v>
      </c>
      <c r="M732" s="18" t="n">
        <f aca="false">K732/E732</f>
        <v>30000</v>
      </c>
      <c r="N732" s="3" t="str">
        <f aca="false">IF(OR(K732="",M732=""),"",IF(C732="STATS_ONLY","stats",IF(ROUND(K732/M732,2)=E732,"OK","CHECK")))</f>
        <v>OK</v>
      </c>
      <c r="O732" s="3" t="str">
        <f aca="false">TEXT(D732,"yyyy-mm")</f>
        <v>2026-01</v>
      </c>
      <c r="P732" s="13" t="s">
        <v>170</v>
      </c>
    </row>
    <row r="733" customFormat="false" ht="15" hidden="false" customHeight="false" outlineLevel="0" collapsed="false">
      <c r="A733" s="5" t="s">
        <v>98</v>
      </c>
      <c r="B733" s="5" t="n">
        <v>2202</v>
      </c>
      <c r="C733" s="5" t="s">
        <v>399</v>
      </c>
      <c r="D733" s="14" t="n">
        <v>46032</v>
      </c>
      <c r="E733" s="15" t="n">
        <v>-4</v>
      </c>
      <c r="F733" s="5" t="s">
        <v>400</v>
      </c>
      <c r="G733" s="5" t="s">
        <v>178</v>
      </c>
      <c r="H733" s="5" t="s">
        <v>189</v>
      </c>
      <c r="I733" s="5" t="s">
        <v>194</v>
      </c>
      <c r="J733" s="5" t="s">
        <v>197</v>
      </c>
      <c r="K733" s="16" t="n">
        <v>-120000</v>
      </c>
      <c r="L733" s="5" t="s">
        <v>260</v>
      </c>
      <c r="M733" s="17" t="n">
        <v>30000</v>
      </c>
      <c r="N733" s="3" t="str">
        <f aca="false">IF(OR(K733="",M733=""),"",IF(C733="STATS_ONLY","stats",IF(ROUND(K733/M733,2)=E733,"OK","CHECK")))</f>
        <v>OK</v>
      </c>
      <c r="O733" s="3" t="str">
        <f aca="false">TEXT(D733,"yyyy-mm")</f>
        <v>2026-01</v>
      </c>
      <c r="P733" s="13"/>
    </row>
    <row r="734" customFormat="false" ht="15" hidden="false" customHeight="false" outlineLevel="0" collapsed="false">
      <c r="A734" s="5" t="s">
        <v>98</v>
      </c>
      <c r="B734" s="5" t="n">
        <v>2203</v>
      </c>
      <c r="C734" s="5" t="s">
        <v>399</v>
      </c>
      <c r="D734" s="14" t="n">
        <v>46036</v>
      </c>
      <c r="E734" s="15" t="n">
        <v>-2.5</v>
      </c>
      <c r="F734" s="5" t="s">
        <v>401</v>
      </c>
      <c r="G734" s="5" t="s">
        <v>178</v>
      </c>
      <c r="H734" s="5" t="s">
        <v>189</v>
      </c>
      <c r="I734" s="5" t="s">
        <v>194</v>
      </c>
      <c r="J734" s="5" t="s">
        <v>199</v>
      </c>
      <c r="K734" s="16" t="n">
        <v>-75000</v>
      </c>
      <c r="L734" s="5" t="s">
        <v>260</v>
      </c>
      <c r="M734" s="17" t="n">
        <v>30000</v>
      </c>
      <c r="N734" s="3" t="str">
        <f aca="false">IF(OR(K734="",M734=""),"",IF(C734="STATS_ONLY","stats",IF(ROUND(K734/M734,2)=E734,"OK","CHECK")))</f>
        <v>OK</v>
      </c>
      <c r="O734" s="3" t="str">
        <f aca="false">TEXT(D734,"yyyy-mm")</f>
        <v>2026-01</v>
      </c>
      <c r="P734" s="13"/>
    </row>
    <row r="735" customFormat="false" ht="15" hidden="false" customHeight="false" outlineLevel="0" collapsed="false">
      <c r="A735" s="5" t="s">
        <v>98</v>
      </c>
      <c r="B735" s="5" t="n">
        <v>2204</v>
      </c>
      <c r="C735" s="5" t="s">
        <v>399</v>
      </c>
      <c r="D735" s="14" t="n">
        <v>46042</v>
      </c>
      <c r="E735" s="15" t="n">
        <v>-13.5</v>
      </c>
      <c r="F735" s="5" t="s">
        <v>402</v>
      </c>
      <c r="G735" s="5" t="s">
        <v>178</v>
      </c>
      <c r="H735" s="5" t="s">
        <v>189</v>
      </c>
      <c r="I735" s="5" t="s">
        <v>194</v>
      </c>
      <c r="J735" s="5" t="s">
        <v>197</v>
      </c>
      <c r="K735" s="16" t="n">
        <v>-405000</v>
      </c>
      <c r="L735" s="5" t="s">
        <v>260</v>
      </c>
      <c r="M735" s="17" t="n">
        <v>30000</v>
      </c>
      <c r="N735" s="3" t="str">
        <f aca="false">IF(OR(K735="",M735=""),"",IF(C735="STATS_ONLY","stats",IF(ROUND(K735/M735,2)=E735,"OK","CHECK")))</f>
        <v>OK</v>
      </c>
      <c r="O735" s="3" t="str">
        <f aca="false">TEXT(D735,"yyyy-mm")</f>
        <v>2026-01</v>
      </c>
      <c r="P735" s="13"/>
    </row>
    <row r="736" customFormat="false" ht="15" hidden="false" customHeight="false" outlineLevel="0" collapsed="false">
      <c r="A736" s="5" t="s">
        <v>101</v>
      </c>
      <c r="B736" s="5" t="n">
        <v>2301</v>
      </c>
      <c r="C736" s="5" t="s">
        <v>152</v>
      </c>
      <c r="D736" s="14" t="n">
        <v>46172</v>
      </c>
      <c r="E736" s="15" t="n">
        <v>-112.4</v>
      </c>
      <c r="F736" s="5" t="s">
        <v>403</v>
      </c>
      <c r="G736" s="5" t="s">
        <v>184</v>
      </c>
      <c r="H736" s="5" t="s">
        <v>303</v>
      </c>
      <c r="I736" s="5" t="s">
        <v>304</v>
      </c>
      <c r="J736" s="5"/>
      <c r="K736" s="16"/>
      <c r="L736" s="5"/>
      <c r="M736" s="17"/>
      <c r="N736" s="3" t="str">
        <f aca="false">IF(OR(K736="",M736=""),"",IF(C736="STATS_ONLY","stats",IF(ROUND(K736/M736,2)=E736,"OK","CHECK")))</f>
        <v/>
      </c>
      <c r="O736" s="3" t="str">
        <f aca="false">TEXT(D736,"yyyy-mm")</f>
        <v>2026-05</v>
      </c>
      <c r="P736" s="13" t="s">
        <v>404</v>
      </c>
    </row>
    <row r="737" customFormat="false" ht="15" hidden="false" customHeight="false" outlineLevel="0" collapsed="false">
      <c r="A737" s="5" t="s">
        <v>101</v>
      </c>
      <c r="B737" s="5" t="n">
        <v>2301</v>
      </c>
      <c r="C737" s="5" t="s">
        <v>348</v>
      </c>
      <c r="D737" s="14" t="n">
        <v>46173</v>
      </c>
      <c r="E737" s="15" t="n">
        <v>86.27</v>
      </c>
      <c r="F737" s="5" t="s">
        <v>405</v>
      </c>
      <c r="G737" s="5" t="s">
        <v>184</v>
      </c>
      <c r="H737" s="5" t="s">
        <v>303</v>
      </c>
      <c r="I737" s="5" t="s">
        <v>304</v>
      </c>
      <c r="J737" s="5"/>
      <c r="K737" s="16"/>
      <c r="L737" s="5"/>
      <c r="M737" s="17"/>
      <c r="N737" s="3" t="str">
        <f aca="false">IF(OR(K737="",M737=""),"",IF(C737="STATS_ONLY","stats",IF(ROUND(K737/M737,2)=E737,"OK","CHECK")))</f>
        <v/>
      </c>
      <c r="O737" s="3" t="str">
        <f aca="false">TEXT(D737,"yyyy-mm")</f>
        <v>2026-05</v>
      </c>
      <c r="P737" s="13" t="s">
        <v>406</v>
      </c>
    </row>
    <row r="738" customFormat="false" ht="15" hidden="false" customHeight="false" outlineLevel="0" collapsed="false">
      <c r="A738" s="5" t="s">
        <v>101</v>
      </c>
      <c r="B738" s="5" t="n">
        <v>2302</v>
      </c>
      <c r="C738" s="5" t="s">
        <v>348</v>
      </c>
      <c r="D738" s="14" t="n">
        <v>46176</v>
      </c>
      <c r="E738" s="15" t="n">
        <v>-86.27</v>
      </c>
      <c r="F738" s="5" t="s">
        <v>407</v>
      </c>
      <c r="G738" s="5" t="s">
        <v>167</v>
      </c>
      <c r="H738" s="5" t="s">
        <v>167</v>
      </c>
      <c r="I738" s="5" t="s">
        <v>168</v>
      </c>
      <c r="J738" s="5"/>
      <c r="K738" s="16"/>
      <c r="L738" s="5"/>
      <c r="M738" s="17"/>
      <c r="N738" s="3" t="str">
        <f aca="false">IF(OR(K738="",M738=""),"",IF(C738="STATS_ONLY","stats",IF(ROUND(K738/M738,2)=E738,"OK","CHECK")))</f>
        <v/>
      </c>
      <c r="O738" s="3" t="str">
        <f aca="false">TEXT(D738,"yyyy-mm")</f>
        <v>2026-06</v>
      </c>
      <c r="P738" s="13" t="s">
        <v>169</v>
      </c>
    </row>
    <row r="739" customFormat="false" ht="15" hidden="false" customHeight="false" outlineLevel="0" collapsed="false">
      <c r="A739" s="5" t="s">
        <v>101</v>
      </c>
      <c r="B739" s="5" t="n">
        <v>2302</v>
      </c>
      <c r="C739" s="5" t="s">
        <v>152</v>
      </c>
      <c r="D739" s="14" t="n">
        <v>46176</v>
      </c>
      <c r="E739" s="15" t="n">
        <v>86.27</v>
      </c>
      <c r="F739" s="5" t="s">
        <v>407</v>
      </c>
      <c r="G739" s="5" t="s">
        <v>167</v>
      </c>
      <c r="H739" s="5" t="s">
        <v>167</v>
      </c>
      <c r="I739" s="5" t="s">
        <v>168</v>
      </c>
      <c r="J739" s="5"/>
      <c r="K739" s="16"/>
      <c r="L739" s="5"/>
      <c r="M739" s="17"/>
      <c r="N739" s="3" t="str">
        <f aca="false">IF(OR(K739="",M739=""),"",IF(C739="STATS_ONLY","stats",IF(ROUND(K739/M739,2)=E739,"OK","CHECK")))</f>
        <v/>
      </c>
      <c r="O739" s="3" t="str">
        <f aca="false">TEXT(D739,"yyyy-mm")</f>
        <v>2026-06</v>
      </c>
      <c r="P739" s="13" t="s">
        <v>170</v>
      </c>
    </row>
    <row r="740" customFormat="false" ht="15" hidden="false" customHeight="false" outlineLevel="0" collapsed="false">
      <c r="A740" s="5" t="s">
        <v>104</v>
      </c>
      <c r="B740" s="5" t="n">
        <v>2401</v>
      </c>
      <c r="C740" s="5" t="s">
        <v>152</v>
      </c>
      <c r="D740" s="14" t="n">
        <v>46083</v>
      </c>
      <c r="E740" s="15" t="n">
        <v>820</v>
      </c>
      <c r="F740" s="5" t="s">
        <v>408</v>
      </c>
      <c r="G740" s="5" t="s">
        <v>167</v>
      </c>
      <c r="H740" s="5" t="s">
        <v>167</v>
      </c>
      <c r="I740" s="5" t="s">
        <v>168</v>
      </c>
      <c r="J740" s="5"/>
      <c r="K740" s="16"/>
      <c r="L740" s="5"/>
      <c r="M740" s="17"/>
      <c r="N740" s="3" t="str">
        <f aca="false">IF(OR(K740="",M740=""),"",IF(C740="STATS_ONLY","stats",IF(ROUND(K740/M740,2)=E740,"OK","CHECK")))</f>
        <v/>
      </c>
      <c r="O740" s="3" t="str">
        <f aca="false">TEXT(D740,"yyyy-mm")</f>
        <v>2026-03</v>
      </c>
      <c r="P740" s="13" t="s">
        <v>409</v>
      </c>
    </row>
    <row r="741" customFormat="false" ht="15" hidden="false" customHeight="false" outlineLevel="0" collapsed="false">
      <c r="A741" s="5" t="s">
        <v>104</v>
      </c>
      <c r="B741" s="5" t="n">
        <v>2401</v>
      </c>
      <c r="C741" s="5" t="s">
        <v>152</v>
      </c>
      <c r="D741" s="14" t="n">
        <v>46083</v>
      </c>
      <c r="E741" s="15" t="n">
        <v>-820</v>
      </c>
      <c r="F741" s="5" t="s">
        <v>410</v>
      </c>
      <c r="G741" s="5" t="s">
        <v>167</v>
      </c>
      <c r="H741" s="5" t="s">
        <v>167</v>
      </c>
      <c r="I741" s="5" t="s">
        <v>168</v>
      </c>
      <c r="J741" s="5"/>
      <c r="K741" s="16"/>
      <c r="L741" s="5"/>
      <c r="M741" s="17"/>
      <c r="N741" s="3" t="str">
        <f aca="false">IF(OR(K741="",M741=""),"",IF(C741="STATS_ONLY","stats",IF(ROUND(K741/M741,2)=E741,"OK","CHECK")))</f>
        <v/>
      </c>
      <c r="O741" s="3" t="str">
        <f aca="false">TEXT(D741,"yyyy-mm")</f>
        <v>2026-03</v>
      </c>
      <c r="P741" s="13" t="s">
        <v>169</v>
      </c>
    </row>
    <row r="742" customFormat="false" ht="15" hidden="false" customHeight="false" outlineLevel="0" collapsed="false">
      <c r="A742" s="5" t="s">
        <v>104</v>
      </c>
      <c r="B742" s="5" t="n">
        <v>2401</v>
      </c>
      <c r="C742" s="5" t="s">
        <v>330</v>
      </c>
      <c r="D742" s="14" t="n">
        <v>46083</v>
      </c>
      <c r="E742" s="15" t="n">
        <v>820</v>
      </c>
      <c r="F742" s="5" t="s">
        <v>410</v>
      </c>
      <c r="G742" s="5" t="s">
        <v>167</v>
      </c>
      <c r="H742" s="5" t="s">
        <v>167</v>
      </c>
      <c r="I742" s="5" t="s">
        <v>168</v>
      </c>
      <c r="J742" s="5"/>
      <c r="K742" s="16"/>
      <c r="L742" s="5"/>
      <c r="M742" s="17"/>
      <c r="N742" s="3" t="str">
        <f aca="false">IF(OR(K742="",M742=""),"",IF(C742="STATS_ONLY","stats",IF(ROUND(K742/M742,2)=E742,"OK","CHECK")))</f>
        <v/>
      </c>
      <c r="O742" s="3" t="str">
        <f aca="false">TEXT(D742,"yyyy-mm")</f>
        <v>2026-03</v>
      </c>
      <c r="P742" s="13" t="s">
        <v>170</v>
      </c>
    </row>
    <row r="743" customFormat="false" ht="15" hidden="false" customHeight="false" outlineLevel="0" collapsed="false">
      <c r="A743" s="5" t="s">
        <v>104</v>
      </c>
      <c r="B743" s="5" t="n">
        <v>2401</v>
      </c>
      <c r="C743" s="5" t="s">
        <v>330</v>
      </c>
      <c r="D743" s="14" t="n">
        <v>46084</v>
      </c>
      <c r="E743" s="15" t="n">
        <v>-820</v>
      </c>
      <c r="F743" s="5" t="s">
        <v>411</v>
      </c>
      <c r="G743" s="5" t="s">
        <v>167</v>
      </c>
      <c r="H743" s="5" t="s">
        <v>167</v>
      </c>
      <c r="I743" s="5" t="s">
        <v>168</v>
      </c>
      <c r="J743" s="5"/>
      <c r="K743" s="16"/>
      <c r="L743" s="5"/>
      <c r="M743" s="17"/>
      <c r="N743" s="3" t="str">
        <f aca="false">IF(OR(K743="",M743=""),"",IF(C743="STATS_ONLY","stats",IF(ROUND(K743/M743,2)=E743,"OK","CHECK")))</f>
        <v/>
      </c>
      <c r="O743" s="3" t="str">
        <f aca="false">TEXT(D743,"yyyy-mm")</f>
        <v>2026-03</v>
      </c>
      <c r="P743" s="13" t="s">
        <v>412</v>
      </c>
    </row>
    <row r="744" customFormat="false" ht="15" hidden="false" customHeight="false" outlineLevel="0" collapsed="false">
      <c r="A744" s="5" t="s">
        <v>108</v>
      </c>
      <c r="B744" s="5" t="n">
        <v>2501</v>
      </c>
      <c r="C744" s="5" t="s">
        <v>159</v>
      </c>
      <c r="D744" s="14" t="n">
        <v>46164</v>
      </c>
      <c r="E744" s="15" t="n">
        <v>-8</v>
      </c>
      <c r="F744" s="5" t="s">
        <v>413</v>
      </c>
      <c r="G744" s="5" t="s">
        <v>167</v>
      </c>
      <c r="H744" s="5" t="s">
        <v>167</v>
      </c>
      <c r="I744" s="5" t="s">
        <v>168</v>
      </c>
      <c r="J744" s="5"/>
      <c r="K744" s="16"/>
      <c r="L744" s="5"/>
      <c r="M744" s="17"/>
      <c r="N744" s="3" t="str">
        <f aca="false">IF(OR(K744="",M744=""),"",IF(C744="STATS_ONLY","stats",IF(ROUND(K744/M744,2)=E744,"OK","CHECK")))</f>
        <v/>
      </c>
      <c r="O744" s="3" t="str">
        <f aca="false">TEXT(D744,"yyyy-mm")</f>
        <v>2026-05</v>
      </c>
      <c r="P744" s="13" t="s">
        <v>169</v>
      </c>
    </row>
    <row r="745" customFormat="false" ht="15" hidden="false" customHeight="false" outlineLevel="0" collapsed="false">
      <c r="A745" s="5" t="s">
        <v>108</v>
      </c>
      <c r="B745" s="5" t="n">
        <v>2501</v>
      </c>
      <c r="C745" s="5" t="s">
        <v>152</v>
      </c>
      <c r="D745" s="14" t="n">
        <v>46164</v>
      </c>
      <c r="E745" s="15" t="n">
        <v>8</v>
      </c>
      <c r="F745" s="5" t="s">
        <v>413</v>
      </c>
      <c r="G745" s="5" t="s">
        <v>167</v>
      </c>
      <c r="H745" s="5" t="s">
        <v>167</v>
      </c>
      <c r="I745" s="5" t="s">
        <v>168</v>
      </c>
      <c r="J745" s="5"/>
      <c r="K745" s="16"/>
      <c r="L745" s="5"/>
      <c r="M745" s="17"/>
      <c r="N745" s="3" t="str">
        <f aca="false">IF(OR(K745="",M745=""),"",IF(C745="STATS_ONLY","stats",IF(ROUND(K745/M745,2)=E745,"OK","CHECK")))</f>
        <v/>
      </c>
      <c r="O745" s="3" t="str">
        <f aca="false">TEXT(D745,"yyyy-mm")</f>
        <v>2026-05</v>
      </c>
      <c r="P745" s="13" t="s">
        <v>170</v>
      </c>
    </row>
    <row r="746" customFormat="false" ht="15" hidden="false" customHeight="false" outlineLevel="0" collapsed="false">
      <c r="A746" s="5" t="s">
        <v>111</v>
      </c>
      <c r="B746" s="5" t="n">
        <v>2601</v>
      </c>
      <c r="C746" s="5" t="s">
        <v>152</v>
      </c>
      <c r="D746" s="14" t="n">
        <v>46158</v>
      </c>
      <c r="E746" s="15" t="n">
        <v>-64</v>
      </c>
      <c r="F746" s="5" t="s">
        <v>414</v>
      </c>
      <c r="G746" s="5" t="s">
        <v>184</v>
      </c>
      <c r="H746" s="5" t="s">
        <v>306</v>
      </c>
      <c r="I746" s="5" t="s">
        <v>385</v>
      </c>
      <c r="J746" s="5"/>
      <c r="K746" s="16"/>
      <c r="L746" s="5"/>
      <c r="M746" s="17"/>
      <c r="N746" s="3" t="str">
        <f aca="false">IF(OR(K746="",M746=""),"",IF(C746="STATS_ONLY","stats",IF(ROUND(K746/M746,2)=E746,"OK","CHECK")))</f>
        <v/>
      </c>
      <c r="O746" s="3" t="str">
        <f aca="false">TEXT(D746,"yyyy-mm")</f>
        <v>2026-05</v>
      </c>
      <c r="P746" s="13" t="s">
        <v>415</v>
      </c>
    </row>
    <row r="747" customFormat="false" ht="15" hidden="false" customHeight="false" outlineLevel="0" collapsed="false">
      <c r="A747" s="5" t="s">
        <v>111</v>
      </c>
      <c r="B747" s="5" t="n">
        <v>2601</v>
      </c>
      <c r="C747" s="5" t="s">
        <v>152</v>
      </c>
      <c r="D747" s="14" t="n">
        <v>46159</v>
      </c>
      <c r="E747" s="15" t="n">
        <v>32</v>
      </c>
      <c r="F747" s="5" t="s">
        <v>416</v>
      </c>
      <c r="G747" s="5" t="s">
        <v>184</v>
      </c>
      <c r="H747" s="5" t="s">
        <v>306</v>
      </c>
      <c r="I747" s="5" t="s">
        <v>385</v>
      </c>
      <c r="J747" s="5"/>
      <c r="K747" s="16"/>
      <c r="L747" s="5"/>
      <c r="M747" s="17"/>
      <c r="N747" s="3" t="str">
        <f aca="false">IF(OR(K747="",M747=""),"",IF(C747="STATS_ONLY","stats",IF(ROUND(K747/M747,2)=E747,"OK","CHECK")))</f>
        <v/>
      </c>
      <c r="O747" s="3" t="str">
        <f aca="false">TEXT(D747,"yyyy-mm")</f>
        <v>2026-05</v>
      </c>
      <c r="P747" s="13" t="s">
        <v>417</v>
      </c>
    </row>
    <row r="748" customFormat="false" ht="15" hidden="false" customHeight="false" outlineLevel="0" collapsed="false">
      <c r="A748" s="5" t="s">
        <v>114</v>
      </c>
      <c r="B748" s="5" t="n">
        <v>2701</v>
      </c>
      <c r="C748" s="5" t="s">
        <v>418</v>
      </c>
      <c r="D748" s="14" t="n">
        <v>46167</v>
      </c>
      <c r="E748" s="15" t="n">
        <v>15</v>
      </c>
      <c r="F748" s="5" t="s">
        <v>419</v>
      </c>
      <c r="G748" s="5" t="s">
        <v>184</v>
      </c>
      <c r="H748" s="5" t="s">
        <v>303</v>
      </c>
      <c r="I748" s="5" t="s">
        <v>312</v>
      </c>
      <c r="J748" s="5"/>
      <c r="K748" s="16"/>
      <c r="L748" s="5"/>
      <c r="M748" s="17"/>
      <c r="N748" s="3" t="str">
        <f aca="false">IF(OR(K748="",M748=""),"",IF(C748="STATS_ONLY","stats",IF(ROUND(K748/M748,2)=E748,"OK","CHECK")))</f>
        <v/>
      </c>
      <c r="O748" s="3" t="str">
        <f aca="false">TEXT(D748,"yyyy-mm")</f>
        <v>2026-05</v>
      </c>
      <c r="P748" s="13" t="s">
        <v>420</v>
      </c>
    </row>
    <row r="749" customFormat="false" ht="15" hidden="false" customHeight="false" outlineLevel="0" collapsed="false">
      <c r="A749" s="5" t="s">
        <v>114</v>
      </c>
      <c r="B749" s="5" t="n">
        <v>2701</v>
      </c>
      <c r="C749" s="5" t="s">
        <v>418</v>
      </c>
      <c r="D749" s="14" t="n">
        <v>46167</v>
      </c>
      <c r="E749" s="15" t="n">
        <v>-15</v>
      </c>
      <c r="F749" s="5" t="s">
        <v>419</v>
      </c>
      <c r="G749" s="5" t="s">
        <v>184</v>
      </c>
      <c r="H749" s="5" t="s">
        <v>301</v>
      </c>
      <c r="I749" s="5" t="s">
        <v>396</v>
      </c>
      <c r="J749" s="5"/>
      <c r="K749" s="16"/>
      <c r="L749" s="5"/>
      <c r="M749" s="17"/>
      <c r="N749" s="3" t="str">
        <f aca="false">IF(OR(K749="",M749=""),"",IF(C749="STATS_ONLY","stats",IF(ROUND(K749/M749,2)=E749,"OK","CHECK")))</f>
        <v/>
      </c>
      <c r="O749" s="3" t="str">
        <f aca="false">TEXT(D749,"yyyy-mm")</f>
        <v>2026-05</v>
      </c>
      <c r="P749" s="13" t="s">
        <v>421</v>
      </c>
    </row>
    <row r="750" customFormat="false" ht="15" hidden="false" customHeight="false" outlineLevel="0" collapsed="false">
      <c r="A750" s="5" t="s">
        <v>117</v>
      </c>
      <c r="B750" s="5" t="n">
        <v>2801</v>
      </c>
      <c r="C750" s="5" t="s">
        <v>422</v>
      </c>
      <c r="D750" s="14" t="n">
        <v>46114</v>
      </c>
      <c r="E750" s="15" t="n">
        <v>-12.34</v>
      </c>
      <c r="F750" s="5" t="s">
        <v>423</v>
      </c>
      <c r="G750" s="5" t="s">
        <v>167</v>
      </c>
      <c r="H750" s="5" t="s">
        <v>167</v>
      </c>
      <c r="I750" s="5" t="s">
        <v>168</v>
      </c>
      <c r="J750" s="5"/>
      <c r="K750" s="16"/>
      <c r="L750" s="5"/>
      <c r="M750" s="17"/>
      <c r="N750" s="3" t="str">
        <f aca="false">IF(OR(K750="",M750=""),"",IF(C750="STATS_ONLY","stats",IF(ROUND(K750/M750,2)=E750,"OK","CHECK")))</f>
        <v/>
      </c>
      <c r="O750" s="3" t="str">
        <f aca="false">TEXT(D750,"yyyy-mm")</f>
        <v>2026-04</v>
      </c>
      <c r="P750" s="13" t="s">
        <v>169</v>
      </c>
    </row>
    <row r="751" customFormat="false" ht="15" hidden="false" customHeight="false" outlineLevel="0" collapsed="false">
      <c r="A751" s="5" t="s">
        <v>117</v>
      </c>
      <c r="B751" s="5" t="n">
        <v>2801</v>
      </c>
      <c r="C751" s="5" t="s">
        <v>152</v>
      </c>
      <c r="D751" s="14" t="n">
        <v>46114</v>
      </c>
      <c r="E751" s="15" t="n">
        <v>12.34</v>
      </c>
      <c r="F751" s="5" t="s">
        <v>423</v>
      </c>
      <c r="G751" s="5" t="s">
        <v>167</v>
      </c>
      <c r="H751" s="5" t="s">
        <v>167</v>
      </c>
      <c r="I751" s="5" t="s">
        <v>168</v>
      </c>
      <c r="J751" s="5"/>
      <c r="K751" s="16"/>
      <c r="L751" s="5"/>
      <c r="M751" s="17"/>
      <c r="N751" s="3" t="str">
        <f aca="false">IF(OR(K751="",M751=""),"",IF(C751="STATS_ONLY","stats",IF(ROUND(K751/M751,2)=E751,"OK","CHECK")))</f>
        <v/>
      </c>
      <c r="O751" s="3" t="str">
        <f aca="false">TEXT(D751,"yyyy-mm")</f>
        <v>2026-04</v>
      </c>
      <c r="P751" s="13" t="s">
        <v>170</v>
      </c>
    </row>
    <row r="752" customFormat="false" ht="15" hidden="false" customHeight="false" outlineLevel="0" collapsed="false">
      <c r="A752" s="5" t="s">
        <v>117</v>
      </c>
      <c r="B752" s="5" t="n">
        <v>2802</v>
      </c>
      <c r="C752" s="5" t="s">
        <v>422</v>
      </c>
      <c r="D752" s="14" t="n">
        <v>46132</v>
      </c>
      <c r="E752" s="15" t="n">
        <v>12.34</v>
      </c>
      <c r="F752" s="5" t="s">
        <v>424</v>
      </c>
      <c r="G752" s="5" t="s">
        <v>184</v>
      </c>
      <c r="H752" s="5" t="s">
        <v>301</v>
      </c>
      <c r="I752" s="5" t="s">
        <v>206</v>
      </c>
      <c r="J752" s="5"/>
      <c r="K752" s="16"/>
      <c r="L752" s="5"/>
      <c r="M752" s="17"/>
      <c r="N752" s="3" t="str">
        <f aca="false">IF(OR(K752="",M752=""),"",IF(C752="STATS_ONLY","stats",IF(ROUND(K752/M752,2)=E752,"OK","CHECK")))</f>
        <v/>
      </c>
      <c r="O752" s="3" t="str">
        <f aca="false">TEXT(D752,"yyyy-mm")</f>
        <v>2026-04</v>
      </c>
      <c r="P752" s="13" t="s">
        <v>425</v>
      </c>
    </row>
    <row r="753" customFormat="false" ht="15" hidden="false" customHeight="false" outlineLevel="0" collapsed="false">
      <c r="A753" s="5" t="s">
        <v>120</v>
      </c>
      <c r="B753" s="5" t="n">
        <v>2901</v>
      </c>
      <c r="C753" s="5" t="s">
        <v>392</v>
      </c>
      <c r="D753" s="14" t="n">
        <v>46203</v>
      </c>
      <c r="E753" s="15" t="n">
        <v>-0.38</v>
      </c>
      <c r="F753" s="5" t="s">
        <v>426</v>
      </c>
      <c r="G753" s="5" t="s">
        <v>184</v>
      </c>
      <c r="H753" s="5" t="s">
        <v>301</v>
      </c>
      <c r="I753" s="5" t="s">
        <v>427</v>
      </c>
      <c r="J753" s="5"/>
      <c r="K753" s="16"/>
      <c r="L753" s="5"/>
      <c r="M753" s="17"/>
      <c r="N753" s="3" t="str">
        <f aca="false">IF(OR(K753="",M753=""),"",IF(C753="STATS_ONLY","stats",IF(ROUND(K753/M753,2)=E753,"OK","CHECK")))</f>
        <v/>
      </c>
      <c r="O753" s="3" t="str">
        <f aca="false">TEXT(D753,"yyyy-mm")</f>
        <v>2026-06</v>
      </c>
      <c r="P753" s="13" t="s">
        <v>428</v>
      </c>
    </row>
    <row r="754" customFormat="false" ht="15" hidden="false" customHeight="false" outlineLevel="0" collapsed="false">
      <c r="A754" s="5" t="s">
        <v>123</v>
      </c>
      <c r="B754" s="5" t="n">
        <v>5101</v>
      </c>
      <c r="C754" s="5" t="s">
        <v>187</v>
      </c>
      <c r="D754" s="14" t="n">
        <v>45970</v>
      </c>
      <c r="E754" s="15" t="n">
        <v>-0.33</v>
      </c>
      <c r="F754" s="5" t="s">
        <v>429</v>
      </c>
      <c r="G754" s="5" t="s">
        <v>178</v>
      </c>
      <c r="H754" s="5" t="s">
        <v>189</v>
      </c>
      <c r="I754" s="5" t="s">
        <v>194</v>
      </c>
      <c r="J754" s="5" t="s">
        <v>430</v>
      </c>
      <c r="K754" s="16" t="n">
        <v>-12</v>
      </c>
      <c r="L754" s="5" t="s">
        <v>192</v>
      </c>
      <c r="M754" s="17" t="n">
        <v>36.9103348937703</v>
      </c>
      <c r="N754" s="3" t="str">
        <f aca="false">IF(OR(K754="",M754=""),"",IF(C754="STATS_ONLY","stats",IF(ROUND(K754/M754,2)=E754,"OK","CHECK")))</f>
        <v>OK</v>
      </c>
      <c r="O754" s="3" t="str">
        <f aca="false">TEXT(D754,"yyyy-mm")</f>
        <v>2025-11</v>
      </c>
      <c r="P754" s="13" t="s">
        <v>431</v>
      </c>
    </row>
    <row r="755" customFormat="false" ht="15" hidden="false" customHeight="false" outlineLevel="0" collapsed="false">
      <c r="A755" s="5" t="s">
        <v>127</v>
      </c>
      <c r="B755" s="5" t="n">
        <v>5201</v>
      </c>
      <c r="C755" s="5" t="s">
        <v>171</v>
      </c>
      <c r="D755" s="14" t="n">
        <v>46082</v>
      </c>
      <c r="E755" s="15" t="n">
        <v>-220</v>
      </c>
      <c r="F755" s="5" t="s">
        <v>432</v>
      </c>
      <c r="G755" s="5" t="s">
        <v>178</v>
      </c>
      <c r="H755" s="5" t="s">
        <v>189</v>
      </c>
      <c r="I755" s="5" t="s">
        <v>190</v>
      </c>
      <c r="J755" s="5" t="s">
        <v>191</v>
      </c>
      <c r="K755" s="16"/>
      <c r="L755" s="5"/>
      <c r="M755" s="17"/>
      <c r="N755" s="3" t="str">
        <f aca="false">IF(OR(K755="",M755=""),"",IF(C755="STATS_ONLY","stats",IF(ROUND(K755/M755,2)=E755,"OK","CHECK")))</f>
        <v/>
      </c>
      <c r="O755" s="3" t="str">
        <f aca="false">TEXT(D755,"yyyy-mm")</f>
        <v>2026-03</v>
      </c>
      <c r="P755" s="13" t="s">
        <v>433</v>
      </c>
    </row>
    <row r="756" customFormat="false" ht="15" hidden="false" customHeight="false" outlineLevel="0" collapsed="false">
      <c r="A756" s="5" t="s">
        <v>127</v>
      </c>
      <c r="B756" s="5" t="n">
        <v>5201</v>
      </c>
      <c r="C756" s="5" t="s">
        <v>434</v>
      </c>
      <c r="D756" s="14" t="n">
        <v>46082</v>
      </c>
      <c r="E756" s="15" t="n">
        <v>0</v>
      </c>
      <c r="F756" s="5" t="s">
        <v>435</v>
      </c>
      <c r="G756" s="5" t="s">
        <v>178</v>
      </c>
      <c r="H756" s="5" t="s">
        <v>189</v>
      </c>
      <c r="I756" s="5" t="s">
        <v>190</v>
      </c>
      <c r="J756" s="5" t="s">
        <v>191</v>
      </c>
      <c r="K756" s="16" t="n">
        <v>-6600000</v>
      </c>
      <c r="L756" s="5" t="s">
        <v>260</v>
      </c>
      <c r="M756" s="17" t="n">
        <v>30000</v>
      </c>
      <c r="N756" s="3" t="str">
        <f aca="false">IF(OR(K756="",M756=""),"",IF(C756="STATS_ONLY","stats",IF(ROUND(K756/M756,2)=E756,"OK","CHECK")))</f>
        <v>stats</v>
      </c>
      <c r="O756" s="3" t="str">
        <f aca="false">TEXT(D756,"yyyy-mm")</f>
        <v>2026-03</v>
      </c>
      <c r="P756" s="13" t="s">
        <v>436</v>
      </c>
    </row>
    <row r="757" customFormat="false" ht="15" hidden="false" customHeight="false" outlineLevel="0" collapsed="false">
      <c r="A757" s="5" t="s">
        <v>127</v>
      </c>
      <c r="B757" s="5" t="n">
        <v>5202</v>
      </c>
      <c r="C757" s="5" t="s">
        <v>152</v>
      </c>
      <c r="D757" s="14" t="n">
        <v>46108</v>
      </c>
      <c r="E757" s="15" t="n">
        <v>-220</v>
      </c>
      <c r="F757" s="5" t="s">
        <v>319</v>
      </c>
      <c r="G757" s="5" t="s">
        <v>167</v>
      </c>
      <c r="H757" s="5" t="s">
        <v>167</v>
      </c>
      <c r="I757" s="5" t="s">
        <v>168</v>
      </c>
      <c r="J757" s="5"/>
      <c r="K757" s="16"/>
      <c r="L757" s="5"/>
      <c r="M757" s="17"/>
      <c r="N757" s="3" t="str">
        <f aca="false">IF(OR(K757="",M757=""),"",IF(C757="STATS_ONLY","stats",IF(ROUND(K757/M757,2)=E757,"OK","CHECK")))</f>
        <v/>
      </c>
      <c r="O757" s="3" t="str">
        <f aca="false">TEXT(D757,"yyyy-mm")</f>
        <v>2026-03</v>
      </c>
      <c r="P757" s="13" t="s">
        <v>169</v>
      </c>
    </row>
    <row r="758" customFormat="false" ht="15" hidden="false" customHeight="false" outlineLevel="0" collapsed="false">
      <c r="A758" s="5" t="s">
        <v>127</v>
      </c>
      <c r="B758" s="5" t="n">
        <v>5202</v>
      </c>
      <c r="C758" s="5" t="s">
        <v>171</v>
      </c>
      <c r="D758" s="14" t="n">
        <v>46108</v>
      </c>
      <c r="E758" s="15" t="n">
        <v>220</v>
      </c>
      <c r="F758" s="5" t="s">
        <v>319</v>
      </c>
      <c r="G758" s="5" t="s">
        <v>167</v>
      </c>
      <c r="H758" s="5" t="s">
        <v>167</v>
      </c>
      <c r="I758" s="5" t="s">
        <v>168</v>
      </c>
      <c r="J758" s="5"/>
      <c r="K758" s="16"/>
      <c r="L758" s="5"/>
      <c r="M758" s="17"/>
      <c r="N758" s="3" t="str">
        <f aca="false">IF(OR(K758="",M758=""),"",IF(C758="STATS_ONLY","stats",IF(ROUND(K758/M758,2)=E758,"OK","CHECK")))</f>
        <v/>
      </c>
      <c r="O758" s="3" t="str">
        <f aca="false">TEXT(D758,"yyyy-mm")</f>
        <v>2026-03</v>
      </c>
      <c r="P758" s="13" t="s">
        <v>170</v>
      </c>
    </row>
    <row r="759" customFormat="false" ht="15" hidden="false" customHeight="false" outlineLevel="0" collapsed="false">
      <c r="A759" s="5" t="s">
        <v>130</v>
      </c>
      <c r="B759" s="5" t="n">
        <v>5301</v>
      </c>
      <c r="C759" s="5" t="s">
        <v>159</v>
      </c>
      <c r="D759" s="14" t="n">
        <v>46173</v>
      </c>
      <c r="E759" s="15" t="n">
        <v>0</v>
      </c>
      <c r="F759" s="5" t="s">
        <v>437</v>
      </c>
      <c r="G759" s="5" t="s">
        <v>167</v>
      </c>
      <c r="H759" s="5" t="s">
        <v>167</v>
      </c>
      <c r="I759" s="5" t="s">
        <v>151</v>
      </c>
      <c r="J759" s="5"/>
      <c r="K759" s="16"/>
      <c r="L759" s="5"/>
      <c r="M759" s="17"/>
      <c r="N759" s="3" t="str">
        <f aca="false">IF(OR(K759="",M759=""),"",IF(C759="STATS_ONLY","stats",IF(ROUND(K759/M759,2)=E759,"OK","CHECK")))</f>
        <v/>
      </c>
      <c r="O759" s="3" t="str">
        <f aca="false">TEXT(D759,"yyyy-mm")</f>
        <v>2026-05</v>
      </c>
      <c r="P759" s="13" t="s">
        <v>438</v>
      </c>
    </row>
    <row r="760" customFormat="false" ht="15" hidden="false" customHeight="false" outlineLevel="0" collapsed="false">
      <c r="A760" s="5" t="s">
        <v>133</v>
      </c>
      <c r="B760" s="5" t="n">
        <v>5400</v>
      </c>
      <c r="C760" s="5" t="s">
        <v>152</v>
      </c>
      <c r="D760" s="14" t="n">
        <v>46022</v>
      </c>
      <c r="E760" s="15" t="n">
        <v>0</v>
      </c>
      <c r="F760" s="5" t="s">
        <v>439</v>
      </c>
      <c r="G760" s="5" t="s">
        <v>154</v>
      </c>
      <c r="H760" s="5" t="s">
        <v>154</v>
      </c>
      <c r="I760" s="5" t="s">
        <v>440</v>
      </c>
      <c r="J760" s="5"/>
      <c r="K760" s="16"/>
      <c r="L760" s="5"/>
      <c r="M760" s="17"/>
      <c r="N760" s="3" t="str">
        <f aca="false">IF(OR(K760="",M760=""),"",IF(C760="STATS_ONLY","stats",IF(ROUND(K760/M760,2)=E760,"OK","CHECK")))</f>
        <v/>
      </c>
      <c r="O760" s="3" t="str">
        <f aca="false">TEXT(D760,"yyyy-mm")</f>
        <v>2025-12</v>
      </c>
      <c r="P760" s="13" t="s">
        <v>441</v>
      </c>
    </row>
    <row r="761" customFormat="false" ht="15" hidden="false" customHeight="false" outlineLevel="0" collapsed="false">
      <c r="A761" s="5" t="s">
        <v>133</v>
      </c>
      <c r="B761" s="5" t="n">
        <v>5400</v>
      </c>
      <c r="C761" s="5" t="s">
        <v>187</v>
      </c>
      <c r="D761" s="14" t="n">
        <v>46022</v>
      </c>
      <c r="E761" s="15" t="n">
        <v>0</v>
      </c>
      <c r="F761" s="5" t="s">
        <v>442</v>
      </c>
      <c r="G761" s="5" t="s">
        <v>154</v>
      </c>
      <c r="H761" s="5" t="s">
        <v>154</v>
      </c>
      <c r="I761" s="5" t="s">
        <v>440</v>
      </c>
      <c r="J761" s="5"/>
      <c r="K761" s="16"/>
      <c r="L761" s="5"/>
      <c r="M761" s="17"/>
      <c r="N761" s="3" t="str">
        <f aca="false">IF(OR(K761="",M761=""),"",IF(C761="STATS_ONLY","stats",IF(ROUND(K761/M761,2)=E761,"OK","CHECK")))</f>
        <v/>
      </c>
      <c r="O761" s="3" t="str">
        <f aca="false">TEXT(D761,"yyyy-mm")</f>
        <v>2025-12</v>
      </c>
      <c r="P761" s="13" t="s">
        <v>441</v>
      </c>
    </row>
    <row r="762" customFormat="false" ht="15" hidden="false" customHeight="false" outlineLevel="0" collapsed="false">
      <c r="A762" s="5" t="s">
        <v>133</v>
      </c>
      <c r="B762" s="5" t="n">
        <v>5400</v>
      </c>
      <c r="C762" s="5" t="s">
        <v>358</v>
      </c>
      <c r="D762" s="14" t="n">
        <v>46022</v>
      </c>
      <c r="E762" s="15" t="n">
        <v>0</v>
      </c>
      <c r="F762" s="5" t="s">
        <v>443</v>
      </c>
      <c r="G762" s="5" t="s">
        <v>154</v>
      </c>
      <c r="H762" s="5" t="s">
        <v>154</v>
      </c>
      <c r="I762" s="5" t="s">
        <v>440</v>
      </c>
      <c r="J762" s="5"/>
      <c r="K762" s="16"/>
      <c r="L762" s="5"/>
      <c r="M762" s="17"/>
      <c r="N762" s="3" t="str">
        <f aca="false">IF(OR(K762="",M762=""),"",IF(C762="STATS_ONLY","stats",IF(ROUND(K762/M762,2)=E762,"OK","CHECK")))</f>
        <v/>
      </c>
      <c r="O762" s="3" t="str">
        <f aca="false">TEXT(D762,"yyyy-mm")</f>
        <v>2025-12</v>
      </c>
      <c r="P762" s="13" t="s">
        <v>441</v>
      </c>
    </row>
  </sheetData>
  <autoFilter ref="A1:P762"/>
  <conditionalFormatting sqref="A2:P762">
    <cfRule type="expression" priority="2" aboveAverage="0" equalAverage="0" bottom="0" percent="0" rank="0" text="" dxfId="6">
      <formula>$G2="TRANSFER"</formula>
    </cfRule>
  </conditionalFormatting>
  <conditionalFormatting sqref="N2:N762">
    <cfRule type="expression" priority="3" aboveAverage="0" equalAverage="0" bottom="0" percent="0" rank="0" text="" dxfId="7">
      <formula>$N2="CHECK"</formula>
    </cfRule>
  </conditionalFormatting>
  <dataValidations count="4">
    <dataValidation allowBlank="true" error="Pick a code from the list, or add it on the CODES tab first." errorStyle="stop" errorTitle="Unknown code" operator="between" showDropDown="false" showErrorMessage="true" showInputMessage="false" sqref="G2:G1762" type="list">
      <formula1>CODES!$A$5:$A$15</formula1>
      <formula2>0</formula2>
    </dataValidation>
    <dataValidation allowBlank="true" error="Pick a code from the list, or add it on the CODES tab first." errorStyle="stop" errorTitle="Unknown code" operator="between" showDropDown="false" showErrorMessage="true" showInputMessage="false" sqref="H2:H1762" type="list">
      <formula1>CODES!$D$5:$D$23</formula1>
      <formula2>0</formula2>
    </dataValidation>
    <dataValidation allowBlank="true" error="Pick a code from the list, or add it on the CODES tab first." errorStyle="stop" errorTitle="Unknown code" operator="between" showDropDown="false" showErrorMessage="true" showInputMessage="false" sqref="C2:C1762" type="list">
      <formula1>CODES!$F$5:$F$30</formula1>
      <formula2>0</formula2>
    </dataValidation>
    <dataValidation allowBlank="true" error="Pick a code from the list, or add it on the CODES tab first." errorStyle="stop" errorTitle="Unknown code" operator="between" showDropDown="false" showErrorMessage="true" showInputMessage="false" sqref="J2:J1762" type="list">
      <formula1>CODES!$J$5:$J$22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9" t="s">
        <v>444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3" t="s">
        <v>445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446</v>
      </c>
      <c r="B4" s="7" t="s">
        <v>447</v>
      </c>
      <c r="C4" s="7" t="s">
        <v>448</v>
      </c>
      <c r="D4" s="7" t="s">
        <v>449</v>
      </c>
      <c r="E4" s="7" t="s">
        <v>450</v>
      </c>
      <c r="F4" s="2"/>
    </row>
    <row r="5" customFormat="false" ht="15" hidden="false" customHeight="false" outlineLevel="0" collapsed="false">
      <c r="A5" s="3" t="n">
        <v>1</v>
      </c>
      <c r="B5" s="3" t="s">
        <v>451</v>
      </c>
      <c r="C5" s="20" t="n">
        <f aca="false">ROUND(SUMIFS(ENTRIES!$E$2:$E$2000,ENTRIES!$G$2:$G$2000,"TRANSFER"),2)</f>
        <v>0</v>
      </c>
      <c r="D5" s="21" t="str">
        <f aca="false">IF(ABS(C5)&lt;0.005,"OK","CHECK")</f>
        <v>OK</v>
      </c>
      <c r="E5" s="13" t="s">
        <v>452</v>
      </c>
      <c r="F5" s="2"/>
    </row>
    <row r="6" customFormat="false" ht="15" hidden="false" customHeight="false" outlineLevel="0" collapsed="false">
      <c r="A6" s="3" t="n">
        <v>2</v>
      </c>
      <c r="B6" s="3" t="s">
        <v>453</v>
      </c>
      <c r="C6" s="3" t="n">
        <f aca="false">COUNTIF($D$18:$D$78,"CHECK")</f>
        <v>0</v>
      </c>
      <c r="D6" s="21" t="str">
        <f aca="false">IF(C6=0,"OK","CHECK")</f>
        <v>OK</v>
      </c>
      <c r="E6" s="13" t="s">
        <v>454</v>
      </c>
      <c r="F6" s="2"/>
    </row>
    <row r="7" customFormat="false" ht="15" hidden="false" customHeight="false" outlineLevel="0" collapsed="false">
      <c r="A7" s="3" t="n">
        <v>3</v>
      </c>
      <c r="B7" s="3" t="s">
        <v>455</v>
      </c>
      <c r="C7" s="3" t="n">
        <f aca="false">COUNTIF($D$83:$D$91,"&lt;&gt;OK")</f>
        <v>2</v>
      </c>
      <c r="D7" s="21" t="str">
        <f aca="false">IF(C7=0,"OK","REVIEW")</f>
        <v>REVIEW</v>
      </c>
      <c r="E7" s="13" t="s">
        <v>456</v>
      </c>
      <c r="F7" s="2"/>
    </row>
    <row r="8" customFormat="false" ht="15" hidden="false" customHeight="false" outlineLevel="0" collapsed="false">
      <c r="A8" s="3" t="n">
        <v>4</v>
      </c>
      <c r="B8" s="3" t="s">
        <v>457</v>
      </c>
      <c r="C8" s="3" t="n">
        <f aca="false">COUNTIFS($C$96:$C$121,"helper",$F$96:$F$121,"CHECK")</f>
        <v>0</v>
      </c>
      <c r="D8" s="21" t="str">
        <f aca="false">IF(C8=0,"OK","CHECK")</f>
        <v>OK</v>
      </c>
      <c r="E8" s="13" t="s">
        <v>458</v>
      </c>
      <c r="F8" s="2"/>
    </row>
    <row r="9" customFormat="false" ht="15" hidden="false" customHeight="false" outlineLevel="0" collapsed="false">
      <c r="A9" s="3" t="n">
        <v>5</v>
      </c>
      <c r="B9" s="3" t="s">
        <v>459</v>
      </c>
      <c r="C9" s="3" t="n">
        <f aca="false">COUNTIF(ENTRIES!$N$2:$N$2000,"CHECK")</f>
        <v>0</v>
      </c>
      <c r="D9" s="21" t="str">
        <f aca="false">IF(C9=0,"OK","CHECK")</f>
        <v>OK</v>
      </c>
      <c r="E9" s="13" t="s">
        <v>460</v>
      </c>
      <c r="F9" s="2"/>
    </row>
    <row r="10" customFormat="false" ht="15" hidden="false" customHeight="false" outlineLevel="0" collapsed="false">
      <c r="A10" s="3" t="n">
        <v>6</v>
      </c>
      <c r="B10" s="3" t="s">
        <v>461</v>
      </c>
      <c r="C10" s="3" t="s">
        <v>462</v>
      </c>
      <c r="D10" s="21"/>
      <c r="E10" s="13" t="s">
        <v>463</v>
      </c>
      <c r="F10" s="2"/>
    </row>
    <row r="11" customFormat="false" ht="15" hidden="false" customHeight="false" outlineLevel="0" collapsed="false">
      <c r="A11" s="3" t="n">
        <v>7</v>
      </c>
      <c r="B11" s="3" t="s">
        <v>464</v>
      </c>
      <c r="C11" s="3" t="s">
        <v>462</v>
      </c>
      <c r="D11" s="21"/>
      <c r="E11" s="13" t="s">
        <v>465</v>
      </c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4" t="s">
        <v>466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7" t="s">
        <v>137</v>
      </c>
      <c r="B17" s="7" t="s">
        <v>16</v>
      </c>
      <c r="C17" s="7" t="s">
        <v>21</v>
      </c>
      <c r="D17" s="7" t="s">
        <v>449</v>
      </c>
      <c r="E17" s="7" t="s">
        <v>20</v>
      </c>
      <c r="F17" s="2"/>
    </row>
    <row r="18" customFormat="false" ht="15" hidden="false" customHeight="false" outlineLevel="0" collapsed="false">
      <c r="A18" s="5" t="n">
        <v>101</v>
      </c>
      <c r="B18" s="3" t="str">
        <f aca="false">INDEX(ENTRIES!$A$2:$A$2000,MATCH(A18,ENTRIES!$B$2:$B$2000,0))</f>
        <v>T01</v>
      </c>
      <c r="C18" s="20" t="n">
        <f aca="false">ROUND(SUMIFS(ENTRIES!$E$2:$E$2000,ENTRIES!$B$2:$B$2000,A18,ENTRIES!$G$2:$G$2000,"TRANSFER"),2)</f>
        <v>0</v>
      </c>
      <c r="D18" s="3" t="str">
        <f aca="false">IF(ABS(C18)&lt;0.005,"OK","CHECK")</f>
        <v>OK</v>
      </c>
      <c r="E18" s="3" t="n">
        <f aca="false">COUNTIFS(ENTRIES!$B$2:$B$2000,A18,ENTRIES!$G$2:$G$2000,"TRANSFER")</f>
        <v>2</v>
      </c>
      <c r="F18" s="2"/>
    </row>
    <row r="19" customFormat="false" ht="15" hidden="false" customHeight="false" outlineLevel="0" collapsed="false">
      <c r="A19" s="5" t="n">
        <v>102</v>
      </c>
      <c r="B19" s="3" t="str">
        <f aca="false">INDEX(ENTRIES!$A$2:$A$2000,MATCH(A19,ENTRIES!$B$2:$B$2000,0))</f>
        <v>T01</v>
      </c>
      <c r="C19" s="20" t="n">
        <f aca="false">ROUND(SUMIFS(ENTRIES!$E$2:$E$2000,ENTRIES!$B$2:$B$2000,A19,ENTRIES!$G$2:$G$2000,"TRANSFER"),2)</f>
        <v>0</v>
      </c>
      <c r="D19" s="3" t="str">
        <f aca="false">IF(ABS(C19)&lt;0.005,"OK","CHECK")</f>
        <v>OK</v>
      </c>
      <c r="E19" s="3" t="n">
        <f aca="false">COUNTIFS(ENTRIES!$B$2:$B$2000,A19,ENTRIES!$G$2:$G$2000,"TRANSFER")</f>
        <v>2</v>
      </c>
      <c r="F19" s="2"/>
    </row>
    <row r="20" customFormat="false" ht="15" hidden="false" customHeight="false" outlineLevel="0" collapsed="false">
      <c r="A20" s="5" t="n">
        <v>201</v>
      </c>
      <c r="B20" s="3" t="str">
        <f aca="false">INDEX(ENTRIES!$A$2:$A$2000,MATCH(A20,ENTRIES!$B$2:$B$2000,0))</f>
        <v>T02</v>
      </c>
      <c r="C20" s="20" t="n">
        <f aca="false">ROUND(SUMIFS(ENTRIES!$E$2:$E$2000,ENTRIES!$B$2:$B$2000,A20,ENTRIES!$G$2:$G$2000,"TRANSFER"),2)</f>
        <v>0</v>
      </c>
      <c r="D20" s="3" t="str">
        <f aca="false">IF(ABS(C20)&lt;0.005,"OK","CHECK")</f>
        <v>OK</v>
      </c>
      <c r="E20" s="3" t="n">
        <f aca="false">COUNTIFS(ENTRIES!$B$2:$B$2000,A20,ENTRIES!$G$2:$G$2000,"TRANSFER")</f>
        <v>2</v>
      </c>
      <c r="F20" s="2"/>
    </row>
    <row r="21" customFormat="false" ht="15" hidden="false" customHeight="false" outlineLevel="0" collapsed="false">
      <c r="A21" s="5" t="n">
        <v>301</v>
      </c>
      <c r="B21" s="3" t="str">
        <f aca="false">INDEX(ENTRIES!$A$2:$A$2000,MATCH(A21,ENTRIES!$B$2:$B$2000,0))</f>
        <v>T03</v>
      </c>
      <c r="C21" s="20" t="n">
        <f aca="false">ROUND(SUMIFS(ENTRIES!$E$2:$E$2000,ENTRIES!$B$2:$B$2000,A21,ENTRIES!$G$2:$G$2000,"TRANSFER"),2)</f>
        <v>0</v>
      </c>
      <c r="D21" s="3" t="str">
        <f aca="false">IF(ABS(C21)&lt;0.005,"OK","CHECK")</f>
        <v>OK</v>
      </c>
      <c r="E21" s="3" t="n">
        <f aca="false">COUNTIFS(ENTRIES!$B$2:$B$2000,A21,ENTRIES!$G$2:$G$2000,"TRANSFER")</f>
        <v>2</v>
      </c>
      <c r="F21" s="2"/>
    </row>
    <row r="22" customFormat="false" ht="15" hidden="false" customHeight="false" outlineLevel="0" collapsed="false">
      <c r="A22" s="5" t="n">
        <v>401</v>
      </c>
      <c r="B22" s="3" t="str">
        <f aca="false">INDEX(ENTRIES!$A$2:$A$2000,MATCH(A22,ENTRIES!$B$2:$B$2000,0))</f>
        <v>T04</v>
      </c>
      <c r="C22" s="20" t="n">
        <f aca="false">ROUND(SUMIFS(ENTRIES!$E$2:$E$2000,ENTRIES!$B$2:$B$2000,A22,ENTRIES!$G$2:$G$2000,"TRANSFER"),2)</f>
        <v>0</v>
      </c>
      <c r="D22" s="3" t="str">
        <f aca="false">IF(ABS(C22)&lt;0.005,"OK","CHECK")</f>
        <v>OK</v>
      </c>
      <c r="E22" s="3" t="n">
        <f aca="false">COUNTIFS(ENTRIES!$B$2:$B$2000,A22,ENTRIES!$G$2:$G$2000,"TRANSFER")</f>
        <v>2</v>
      </c>
      <c r="F22" s="2"/>
    </row>
    <row r="23" customFormat="false" ht="15" hidden="false" customHeight="false" outlineLevel="0" collapsed="false">
      <c r="A23" s="5" t="n">
        <v>402</v>
      </c>
      <c r="B23" s="3" t="str">
        <f aca="false">INDEX(ENTRIES!$A$2:$A$2000,MATCH(A23,ENTRIES!$B$2:$B$2000,0))</f>
        <v>T04</v>
      </c>
      <c r="C23" s="20" t="n">
        <f aca="false">ROUND(SUMIFS(ENTRIES!$E$2:$E$2000,ENTRIES!$B$2:$B$2000,A23,ENTRIES!$G$2:$G$2000,"TRANSFER"),2)</f>
        <v>0</v>
      </c>
      <c r="D23" s="3" t="str">
        <f aca="false">IF(ABS(C23)&lt;0.005,"OK","CHECK")</f>
        <v>OK</v>
      </c>
      <c r="E23" s="3" t="n">
        <f aca="false">COUNTIFS(ENTRIES!$B$2:$B$2000,A23,ENTRIES!$G$2:$G$2000,"TRANSFER")</f>
        <v>2</v>
      </c>
      <c r="F23" s="2"/>
    </row>
    <row r="24" customFormat="false" ht="15" hidden="false" customHeight="false" outlineLevel="0" collapsed="false">
      <c r="A24" s="5" t="n">
        <v>502</v>
      </c>
      <c r="B24" s="3" t="str">
        <f aca="false">INDEX(ENTRIES!$A$2:$A$2000,MATCH(A24,ENTRIES!$B$2:$B$2000,0))</f>
        <v>T05</v>
      </c>
      <c r="C24" s="20" t="n">
        <f aca="false">ROUND(SUMIFS(ENTRIES!$E$2:$E$2000,ENTRIES!$B$2:$B$2000,A24,ENTRIES!$G$2:$G$2000,"TRANSFER"),2)</f>
        <v>0</v>
      </c>
      <c r="D24" s="3" t="str">
        <f aca="false">IF(ABS(C24)&lt;0.005,"OK","CHECK")</f>
        <v>OK</v>
      </c>
      <c r="E24" s="3" t="n">
        <f aca="false">COUNTIFS(ENTRIES!$B$2:$B$2000,A24,ENTRIES!$G$2:$G$2000,"TRANSFER")</f>
        <v>2</v>
      </c>
      <c r="F24" s="2"/>
    </row>
    <row r="25" customFormat="false" ht="15" hidden="false" customHeight="false" outlineLevel="0" collapsed="false">
      <c r="A25" s="5" t="n">
        <v>601</v>
      </c>
      <c r="B25" s="3" t="str">
        <f aca="false">INDEX(ENTRIES!$A$2:$A$2000,MATCH(A25,ENTRIES!$B$2:$B$2000,0))</f>
        <v>T06</v>
      </c>
      <c r="C25" s="20" t="n">
        <f aca="false">ROUND(SUMIFS(ENTRIES!$E$2:$E$2000,ENTRIES!$B$2:$B$2000,A25,ENTRIES!$G$2:$G$2000,"TRANSFER"),2)</f>
        <v>0</v>
      </c>
      <c r="D25" s="3" t="str">
        <f aca="false">IF(ABS(C25)&lt;0.005,"OK","CHECK")</f>
        <v>OK</v>
      </c>
      <c r="E25" s="3" t="n">
        <f aca="false">COUNTIFS(ENTRIES!$B$2:$B$2000,A25,ENTRIES!$G$2:$G$2000,"TRANSFER")</f>
        <v>2</v>
      </c>
      <c r="F25" s="2"/>
    </row>
    <row r="26" customFormat="false" ht="15" hidden="false" customHeight="false" outlineLevel="0" collapsed="false">
      <c r="A26" s="5" t="n">
        <v>701</v>
      </c>
      <c r="B26" s="3" t="str">
        <f aca="false">INDEX(ENTRIES!$A$2:$A$2000,MATCH(A26,ENTRIES!$B$2:$B$2000,0))</f>
        <v>T07</v>
      </c>
      <c r="C26" s="20" t="n">
        <f aca="false">ROUND(SUMIFS(ENTRIES!$E$2:$E$2000,ENTRIES!$B$2:$B$2000,A26,ENTRIES!$G$2:$G$2000,"TRANSFER"),2)</f>
        <v>0</v>
      </c>
      <c r="D26" s="3" t="str">
        <f aca="false">IF(ABS(C26)&lt;0.005,"OK","CHECK")</f>
        <v>OK</v>
      </c>
      <c r="E26" s="3" t="n">
        <f aca="false">COUNTIFS(ENTRIES!$B$2:$B$2000,A26,ENTRIES!$G$2:$G$2000,"TRANSFER")</f>
        <v>2</v>
      </c>
      <c r="F26" s="2"/>
    </row>
    <row r="27" customFormat="false" ht="15" hidden="false" customHeight="false" outlineLevel="0" collapsed="false">
      <c r="A27" s="5" t="n">
        <v>801</v>
      </c>
      <c r="B27" s="3" t="str">
        <f aca="false">INDEX(ENTRIES!$A$2:$A$2000,MATCH(A27,ENTRIES!$B$2:$B$2000,0))</f>
        <v>T08</v>
      </c>
      <c r="C27" s="20" t="n">
        <f aca="false">ROUND(SUMIFS(ENTRIES!$E$2:$E$2000,ENTRIES!$B$2:$B$2000,A27,ENTRIES!$G$2:$G$2000,"TRANSFER"),2)</f>
        <v>0</v>
      </c>
      <c r="D27" s="3" t="str">
        <f aca="false">IF(ABS(C27)&lt;0.005,"OK","CHECK")</f>
        <v>OK</v>
      </c>
      <c r="E27" s="3" t="n">
        <f aca="false">COUNTIFS(ENTRIES!$B$2:$B$2000,A27,ENTRIES!$G$2:$G$2000,"TRANSFER")</f>
        <v>2</v>
      </c>
      <c r="F27" s="2"/>
    </row>
    <row r="28" customFormat="false" ht="15" hidden="false" customHeight="false" outlineLevel="0" collapsed="false">
      <c r="A28" s="5" t="n">
        <v>901</v>
      </c>
      <c r="B28" s="3" t="str">
        <f aca="false">INDEX(ENTRIES!$A$2:$A$2000,MATCH(A28,ENTRIES!$B$2:$B$2000,0))</f>
        <v>T09</v>
      </c>
      <c r="C28" s="20" t="n">
        <f aca="false">ROUND(SUMIFS(ENTRIES!$E$2:$E$2000,ENTRIES!$B$2:$B$2000,A28,ENTRIES!$G$2:$G$2000,"TRANSFER"),2)</f>
        <v>0</v>
      </c>
      <c r="D28" s="3" t="str">
        <f aca="false">IF(ABS(C28)&lt;0.005,"OK","CHECK")</f>
        <v>OK</v>
      </c>
      <c r="E28" s="3" t="n">
        <f aca="false">COUNTIFS(ENTRIES!$B$2:$B$2000,A28,ENTRIES!$G$2:$G$2000,"TRANSFER")</f>
        <v>2</v>
      </c>
      <c r="F28" s="2"/>
    </row>
    <row r="29" customFormat="false" ht="15" hidden="false" customHeight="false" outlineLevel="0" collapsed="false">
      <c r="A29" s="5" t="n">
        <v>1001</v>
      </c>
      <c r="B29" s="3" t="str">
        <f aca="false">INDEX(ENTRIES!$A$2:$A$2000,MATCH(A29,ENTRIES!$B$2:$B$2000,0))</f>
        <v>T10</v>
      </c>
      <c r="C29" s="20" t="n">
        <f aca="false">ROUND(SUMIFS(ENTRIES!$E$2:$E$2000,ENTRIES!$B$2:$B$2000,A29,ENTRIES!$G$2:$G$2000,"TRANSFER"),2)</f>
        <v>0</v>
      </c>
      <c r="D29" s="3" t="str">
        <f aca="false">IF(ABS(C29)&lt;0.005,"OK","CHECK")</f>
        <v>OK</v>
      </c>
      <c r="E29" s="3" t="n">
        <f aca="false">COUNTIFS(ENTRIES!$B$2:$B$2000,A29,ENTRIES!$G$2:$G$2000,"TRANSFER")</f>
        <v>2</v>
      </c>
      <c r="F29" s="2"/>
    </row>
    <row r="30" customFormat="false" ht="15" hidden="false" customHeight="false" outlineLevel="0" collapsed="false">
      <c r="A30" s="5" t="n">
        <v>1101</v>
      </c>
      <c r="B30" s="3" t="str">
        <f aca="false">INDEX(ENTRIES!$A$2:$A$2000,MATCH(A30,ENTRIES!$B$2:$B$2000,0))</f>
        <v>T11</v>
      </c>
      <c r="C30" s="20" t="n">
        <f aca="false">ROUND(SUMIFS(ENTRIES!$E$2:$E$2000,ENTRIES!$B$2:$B$2000,A30,ENTRIES!$G$2:$G$2000,"TRANSFER"),2)</f>
        <v>0</v>
      </c>
      <c r="D30" s="3" t="str">
        <f aca="false">IF(ABS(C30)&lt;0.005,"OK","CHECK")</f>
        <v>OK</v>
      </c>
      <c r="E30" s="3" t="n">
        <f aca="false">COUNTIFS(ENTRIES!$B$2:$B$2000,A30,ENTRIES!$G$2:$G$2000,"TRANSFER")</f>
        <v>2</v>
      </c>
      <c r="F30" s="2"/>
    </row>
    <row r="31" customFormat="false" ht="15" hidden="false" customHeight="false" outlineLevel="0" collapsed="false">
      <c r="A31" s="5" t="n">
        <v>1102</v>
      </c>
      <c r="B31" s="3" t="str">
        <f aca="false">INDEX(ENTRIES!$A$2:$A$2000,MATCH(A31,ENTRIES!$B$2:$B$2000,0))</f>
        <v>T11</v>
      </c>
      <c r="C31" s="20" t="n">
        <f aca="false">ROUND(SUMIFS(ENTRIES!$E$2:$E$2000,ENTRIES!$B$2:$B$2000,A31,ENTRIES!$G$2:$G$2000,"TRANSFER"),2)</f>
        <v>0</v>
      </c>
      <c r="D31" s="3" t="str">
        <f aca="false">IF(ABS(C31)&lt;0.005,"OK","CHECK")</f>
        <v>OK</v>
      </c>
      <c r="E31" s="3" t="n">
        <f aca="false">COUNTIFS(ENTRIES!$B$2:$B$2000,A31,ENTRIES!$G$2:$G$2000,"TRANSFER")</f>
        <v>2</v>
      </c>
      <c r="F31" s="2"/>
    </row>
    <row r="32" customFormat="false" ht="15" hidden="false" customHeight="false" outlineLevel="0" collapsed="false">
      <c r="A32" s="5" t="n">
        <v>1201</v>
      </c>
      <c r="B32" s="3" t="str">
        <f aca="false">INDEX(ENTRIES!$A$2:$A$2000,MATCH(A32,ENTRIES!$B$2:$B$2000,0))</f>
        <v>T12</v>
      </c>
      <c r="C32" s="20" t="n">
        <f aca="false">ROUND(SUMIFS(ENTRIES!$E$2:$E$2000,ENTRIES!$B$2:$B$2000,A32,ENTRIES!$G$2:$G$2000,"TRANSFER"),2)</f>
        <v>0</v>
      </c>
      <c r="D32" s="3" t="str">
        <f aca="false">IF(ABS(C32)&lt;0.005,"OK","CHECK")</f>
        <v>OK</v>
      </c>
      <c r="E32" s="3" t="n">
        <f aca="false">COUNTIFS(ENTRIES!$B$2:$B$2000,A32,ENTRIES!$G$2:$G$2000,"TRANSFER")</f>
        <v>2</v>
      </c>
      <c r="F32" s="2"/>
    </row>
    <row r="33" customFormat="false" ht="15" hidden="false" customHeight="false" outlineLevel="0" collapsed="false">
      <c r="A33" s="5" t="n">
        <v>1202</v>
      </c>
      <c r="B33" s="3" t="str">
        <f aca="false">INDEX(ENTRIES!$A$2:$A$2000,MATCH(A33,ENTRIES!$B$2:$B$2000,0))</f>
        <v>T12</v>
      </c>
      <c r="C33" s="20" t="n">
        <f aca="false">ROUND(SUMIFS(ENTRIES!$E$2:$E$2000,ENTRIES!$B$2:$B$2000,A33,ENTRIES!$G$2:$G$2000,"TRANSFER"),2)</f>
        <v>0</v>
      </c>
      <c r="D33" s="3" t="str">
        <f aca="false">IF(ABS(C33)&lt;0.005,"OK","CHECK")</f>
        <v>OK</v>
      </c>
      <c r="E33" s="3" t="n">
        <f aca="false">COUNTIFS(ENTRIES!$B$2:$B$2000,A33,ENTRIES!$G$2:$G$2000,"TRANSFER")</f>
        <v>2</v>
      </c>
      <c r="F33" s="2"/>
    </row>
    <row r="34" customFormat="false" ht="15" hidden="false" customHeight="false" outlineLevel="0" collapsed="false">
      <c r="A34" s="5" t="n">
        <v>1203</v>
      </c>
      <c r="B34" s="3" t="str">
        <f aca="false">INDEX(ENTRIES!$A$2:$A$2000,MATCH(A34,ENTRIES!$B$2:$B$2000,0))</f>
        <v>T12</v>
      </c>
      <c r="C34" s="20" t="n">
        <f aca="false">ROUND(SUMIFS(ENTRIES!$E$2:$E$2000,ENTRIES!$B$2:$B$2000,A34,ENTRIES!$G$2:$G$2000,"TRANSFER"),2)</f>
        <v>0</v>
      </c>
      <c r="D34" s="3" t="str">
        <f aca="false">IF(ABS(C34)&lt;0.005,"OK","CHECK")</f>
        <v>OK</v>
      </c>
      <c r="E34" s="3" t="n">
        <f aca="false">COUNTIFS(ENTRIES!$B$2:$B$2000,A34,ENTRIES!$G$2:$G$2000,"TRANSFER")</f>
        <v>2</v>
      </c>
      <c r="F34" s="2"/>
    </row>
    <row r="35" customFormat="false" ht="15" hidden="false" customHeight="false" outlineLevel="0" collapsed="false">
      <c r="A35" s="5" t="n">
        <v>1301</v>
      </c>
      <c r="B35" s="3" t="str">
        <f aca="false">INDEX(ENTRIES!$A$2:$A$2000,MATCH(A35,ENTRIES!$B$2:$B$2000,0))</f>
        <v>T13</v>
      </c>
      <c r="C35" s="20" t="n">
        <f aca="false">ROUND(SUMIFS(ENTRIES!$E$2:$E$2000,ENTRIES!$B$2:$B$2000,A35,ENTRIES!$G$2:$G$2000,"TRANSFER"),2)</f>
        <v>0</v>
      </c>
      <c r="D35" s="3" t="str">
        <f aca="false">IF(ABS(C35)&lt;0.005,"OK","CHECK")</f>
        <v>OK</v>
      </c>
      <c r="E35" s="3" t="n">
        <f aca="false">COUNTIFS(ENTRIES!$B$2:$B$2000,A35,ENTRIES!$G$2:$G$2000,"TRANSFER")</f>
        <v>2</v>
      </c>
      <c r="F35" s="2"/>
    </row>
    <row r="36" customFormat="false" ht="15" hidden="false" customHeight="false" outlineLevel="0" collapsed="false">
      <c r="A36" s="5" t="n">
        <v>1302</v>
      </c>
      <c r="B36" s="3" t="str">
        <f aca="false">INDEX(ENTRIES!$A$2:$A$2000,MATCH(A36,ENTRIES!$B$2:$B$2000,0))</f>
        <v>T13</v>
      </c>
      <c r="C36" s="20" t="n">
        <f aca="false">ROUND(SUMIFS(ENTRIES!$E$2:$E$2000,ENTRIES!$B$2:$B$2000,A36,ENTRIES!$G$2:$G$2000,"TRANSFER"),2)</f>
        <v>0</v>
      </c>
      <c r="D36" s="3" t="str">
        <f aca="false">IF(ABS(C36)&lt;0.005,"OK","CHECK")</f>
        <v>OK</v>
      </c>
      <c r="E36" s="3" t="n">
        <f aca="false">COUNTIFS(ENTRIES!$B$2:$B$2000,A36,ENTRIES!$G$2:$G$2000,"TRANSFER")</f>
        <v>2</v>
      </c>
      <c r="F36" s="2"/>
    </row>
    <row r="37" customFormat="false" ht="15" hidden="false" customHeight="false" outlineLevel="0" collapsed="false">
      <c r="A37" s="5" t="n">
        <v>1303</v>
      </c>
      <c r="B37" s="3" t="str">
        <f aca="false">INDEX(ENTRIES!$A$2:$A$2000,MATCH(A37,ENTRIES!$B$2:$B$2000,0))</f>
        <v>T13</v>
      </c>
      <c r="C37" s="20" t="n">
        <f aca="false">ROUND(SUMIFS(ENTRIES!$E$2:$E$2000,ENTRIES!$B$2:$B$2000,A37,ENTRIES!$G$2:$G$2000,"TRANSFER"),2)</f>
        <v>0</v>
      </c>
      <c r="D37" s="3" t="str">
        <f aca="false">IF(ABS(C37)&lt;0.005,"OK","CHECK")</f>
        <v>OK</v>
      </c>
      <c r="E37" s="3" t="n">
        <f aca="false">COUNTIFS(ENTRIES!$B$2:$B$2000,A37,ENTRIES!$G$2:$G$2000,"TRANSFER")</f>
        <v>2</v>
      </c>
      <c r="F37" s="2"/>
    </row>
    <row r="38" customFormat="false" ht="15" hidden="false" customHeight="false" outlineLevel="0" collapsed="false">
      <c r="A38" s="5" t="n">
        <v>1304</v>
      </c>
      <c r="B38" s="3" t="str">
        <f aca="false">INDEX(ENTRIES!$A$2:$A$2000,MATCH(A38,ENTRIES!$B$2:$B$2000,0))</f>
        <v>T13</v>
      </c>
      <c r="C38" s="20" t="n">
        <f aca="false">ROUND(SUMIFS(ENTRIES!$E$2:$E$2000,ENTRIES!$B$2:$B$2000,A38,ENTRIES!$G$2:$G$2000,"TRANSFER"),2)</f>
        <v>0</v>
      </c>
      <c r="D38" s="3" t="str">
        <f aca="false">IF(ABS(C38)&lt;0.005,"OK","CHECK")</f>
        <v>OK</v>
      </c>
      <c r="E38" s="3" t="n">
        <f aca="false">COUNTIFS(ENTRIES!$B$2:$B$2000,A38,ENTRIES!$G$2:$G$2000,"TRANSFER")</f>
        <v>2</v>
      </c>
      <c r="F38" s="2"/>
    </row>
    <row r="39" customFormat="false" ht="15" hidden="false" customHeight="false" outlineLevel="0" collapsed="false">
      <c r="A39" s="5" t="n">
        <v>1401</v>
      </c>
      <c r="B39" s="3" t="str">
        <f aca="false">INDEX(ENTRIES!$A$2:$A$2000,MATCH(A39,ENTRIES!$B$2:$B$2000,0))</f>
        <v>T14</v>
      </c>
      <c r="C39" s="20" t="n">
        <f aca="false">ROUND(SUMIFS(ENTRIES!$E$2:$E$2000,ENTRIES!$B$2:$B$2000,A39,ENTRIES!$G$2:$G$2000,"TRANSFER"),2)</f>
        <v>0</v>
      </c>
      <c r="D39" s="3" t="str">
        <f aca="false">IF(ABS(C39)&lt;0.005,"OK","CHECK")</f>
        <v>OK</v>
      </c>
      <c r="E39" s="3" t="n">
        <f aca="false">COUNTIFS(ENTRIES!$B$2:$B$2000,A39,ENTRIES!$G$2:$G$2000,"TRANSFER")</f>
        <v>2</v>
      </c>
      <c r="F39" s="2"/>
    </row>
    <row r="40" customFormat="false" ht="15" hidden="false" customHeight="false" outlineLevel="0" collapsed="false">
      <c r="A40" s="5" t="n">
        <v>1501</v>
      </c>
      <c r="B40" s="3" t="str">
        <f aca="false">INDEX(ENTRIES!$A$2:$A$2000,MATCH(A40,ENTRIES!$B$2:$B$2000,0))</f>
        <v>T15</v>
      </c>
      <c r="C40" s="20" t="n">
        <f aca="false">ROUND(SUMIFS(ENTRIES!$E$2:$E$2000,ENTRIES!$B$2:$B$2000,A40,ENTRIES!$G$2:$G$2000,"TRANSFER"),2)</f>
        <v>0</v>
      </c>
      <c r="D40" s="3" t="str">
        <f aca="false">IF(ABS(C40)&lt;0.005,"OK","CHECK")</f>
        <v>OK</v>
      </c>
      <c r="E40" s="3" t="n">
        <f aca="false">COUNTIFS(ENTRIES!$B$2:$B$2000,A40,ENTRIES!$G$2:$G$2000,"TRANSFER")</f>
        <v>2</v>
      </c>
      <c r="F40" s="2"/>
    </row>
    <row r="41" customFormat="false" ht="15" hidden="false" customHeight="false" outlineLevel="0" collapsed="false">
      <c r="A41" s="5" t="n">
        <v>1502</v>
      </c>
      <c r="B41" s="3" t="str">
        <f aca="false">INDEX(ENTRIES!$A$2:$A$2000,MATCH(A41,ENTRIES!$B$2:$B$2000,0))</f>
        <v>T15</v>
      </c>
      <c r="C41" s="20" t="n">
        <f aca="false">ROUND(SUMIFS(ENTRIES!$E$2:$E$2000,ENTRIES!$B$2:$B$2000,A41,ENTRIES!$G$2:$G$2000,"TRANSFER"),2)</f>
        <v>0</v>
      </c>
      <c r="D41" s="3" t="str">
        <f aca="false">IF(ABS(C41)&lt;0.005,"OK","CHECK")</f>
        <v>OK</v>
      </c>
      <c r="E41" s="3" t="n">
        <f aca="false">COUNTIFS(ENTRIES!$B$2:$B$2000,A41,ENTRIES!$G$2:$G$2000,"TRANSFER")</f>
        <v>2</v>
      </c>
      <c r="F41" s="2"/>
    </row>
    <row r="42" customFormat="false" ht="15" hidden="false" customHeight="false" outlineLevel="0" collapsed="false">
      <c r="A42" s="5" t="n">
        <v>1504</v>
      </c>
      <c r="B42" s="3" t="str">
        <f aca="false">INDEX(ENTRIES!$A$2:$A$2000,MATCH(A42,ENTRIES!$B$2:$B$2000,0))</f>
        <v>T15</v>
      </c>
      <c r="C42" s="20" t="n">
        <f aca="false">ROUND(SUMIFS(ENTRIES!$E$2:$E$2000,ENTRIES!$B$2:$B$2000,A42,ENTRIES!$G$2:$G$2000,"TRANSFER"),2)</f>
        <v>0</v>
      </c>
      <c r="D42" s="3" t="str">
        <f aca="false">IF(ABS(C42)&lt;0.005,"OK","CHECK")</f>
        <v>OK</v>
      </c>
      <c r="E42" s="3" t="n">
        <f aca="false">COUNTIFS(ENTRIES!$B$2:$B$2000,A42,ENTRIES!$G$2:$G$2000,"TRANSFER")</f>
        <v>2</v>
      </c>
      <c r="F42" s="2"/>
    </row>
    <row r="43" customFormat="false" ht="15" hidden="false" customHeight="false" outlineLevel="0" collapsed="false">
      <c r="A43" s="5" t="n">
        <v>1601</v>
      </c>
      <c r="B43" s="3" t="str">
        <f aca="false">INDEX(ENTRIES!$A$2:$A$2000,MATCH(A43,ENTRIES!$B$2:$B$2000,0))</f>
        <v>T16</v>
      </c>
      <c r="C43" s="20" t="n">
        <f aca="false">ROUND(SUMIFS(ENTRIES!$E$2:$E$2000,ENTRIES!$B$2:$B$2000,A43,ENTRIES!$G$2:$G$2000,"TRANSFER"),2)</f>
        <v>0</v>
      </c>
      <c r="D43" s="3" t="str">
        <f aca="false">IF(ABS(C43)&lt;0.005,"OK","CHECK")</f>
        <v>OK</v>
      </c>
      <c r="E43" s="3" t="n">
        <f aca="false">COUNTIFS(ENTRIES!$B$2:$B$2000,A43,ENTRIES!$G$2:$G$2000,"TRANSFER")</f>
        <v>2</v>
      </c>
      <c r="F43" s="2"/>
    </row>
    <row r="44" customFormat="false" ht="15" hidden="false" customHeight="false" outlineLevel="0" collapsed="false">
      <c r="A44" s="5" t="n">
        <v>1702</v>
      </c>
      <c r="B44" s="3" t="str">
        <f aca="false">INDEX(ENTRIES!$A$2:$A$2000,MATCH(A44,ENTRIES!$B$2:$B$2000,0))</f>
        <v>T17</v>
      </c>
      <c r="C44" s="20" t="n">
        <f aca="false">ROUND(SUMIFS(ENTRIES!$E$2:$E$2000,ENTRIES!$B$2:$B$2000,A44,ENTRIES!$G$2:$G$2000,"TRANSFER"),2)</f>
        <v>0</v>
      </c>
      <c r="D44" s="3" t="str">
        <f aca="false">IF(ABS(C44)&lt;0.005,"OK","CHECK")</f>
        <v>OK</v>
      </c>
      <c r="E44" s="3" t="n">
        <f aca="false">COUNTIFS(ENTRIES!$B$2:$B$2000,A44,ENTRIES!$G$2:$G$2000,"TRANSFER")</f>
        <v>2</v>
      </c>
      <c r="F44" s="2"/>
    </row>
    <row r="45" customFormat="false" ht="15" hidden="false" customHeight="false" outlineLevel="0" collapsed="false">
      <c r="A45" s="5" t="n">
        <v>1802</v>
      </c>
      <c r="B45" s="3" t="str">
        <f aca="false">INDEX(ENTRIES!$A$2:$A$2000,MATCH(A45,ENTRIES!$B$2:$B$2000,0))</f>
        <v>T18</v>
      </c>
      <c r="C45" s="20" t="n">
        <f aca="false">ROUND(SUMIFS(ENTRIES!$E$2:$E$2000,ENTRIES!$B$2:$B$2000,A45,ENTRIES!$G$2:$G$2000,"TRANSFER"),2)</f>
        <v>0</v>
      </c>
      <c r="D45" s="3" t="str">
        <f aca="false">IF(ABS(C45)&lt;0.005,"OK","CHECK")</f>
        <v>OK</v>
      </c>
      <c r="E45" s="3" t="n">
        <f aca="false">COUNTIFS(ENTRIES!$B$2:$B$2000,A45,ENTRIES!$G$2:$G$2000,"TRANSFER")</f>
        <v>2</v>
      </c>
      <c r="F45" s="2"/>
    </row>
    <row r="46" customFormat="false" ht="15" hidden="false" customHeight="false" outlineLevel="0" collapsed="false">
      <c r="A46" s="5" t="n">
        <v>1902</v>
      </c>
      <c r="B46" s="3" t="str">
        <f aca="false">INDEX(ENTRIES!$A$2:$A$2000,MATCH(A46,ENTRIES!$B$2:$B$2000,0))</f>
        <v>T19</v>
      </c>
      <c r="C46" s="20" t="n">
        <f aca="false">ROUND(SUMIFS(ENTRIES!$E$2:$E$2000,ENTRIES!$B$2:$B$2000,A46,ENTRIES!$G$2:$G$2000,"TRANSFER"),2)</f>
        <v>0</v>
      </c>
      <c r="D46" s="3" t="str">
        <f aca="false">IF(ABS(C46)&lt;0.005,"OK","CHECK")</f>
        <v>OK</v>
      </c>
      <c r="E46" s="3" t="n">
        <f aca="false">COUNTIFS(ENTRIES!$B$2:$B$2000,A46,ENTRIES!$G$2:$G$2000,"TRANSFER")</f>
        <v>2</v>
      </c>
      <c r="F46" s="2"/>
    </row>
    <row r="47" customFormat="false" ht="15" hidden="false" customHeight="false" outlineLevel="0" collapsed="false">
      <c r="A47" s="5" t="n">
        <v>2001</v>
      </c>
      <c r="B47" s="3" t="str">
        <f aca="false">INDEX(ENTRIES!$A$2:$A$2000,MATCH(A47,ENTRIES!$B$2:$B$2000,0))</f>
        <v>T20</v>
      </c>
      <c r="C47" s="20" t="n">
        <f aca="false">ROUND(SUMIFS(ENTRIES!$E$2:$E$2000,ENTRIES!$B$2:$B$2000,A47,ENTRIES!$G$2:$G$2000,"TRANSFER"),2)</f>
        <v>0</v>
      </c>
      <c r="D47" s="3" t="str">
        <f aca="false">IF(ABS(C47)&lt;0.005,"OK","CHECK")</f>
        <v>OK</v>
      </c>
      <c r="E47" s="3" t="n">
        <f aca="false">COUNTIFS(ENTRIES!$B$2:$B$2000,A47,ENTRIES!$G$2:$G$2000,"TRANSFER")</f>
        <v>2</v>
      </c>
      <c r="F47" s="2"/>
    </row>
    <row r="48" customFormat="false" ht="15" hidden="false" customHeight="false" outlineLevel="0" collapsed="false">
      <c r="A48" s="5" t="n">
        <v>2002</v>
      </c>
      <c r="B48" s="3" t="str">
        <f aca="false">INDEX(ENTRIES!$A$2:$A$2000,MATCH(A48,ENTRIES!$B$2:$B$2000,0))</f>
        <v>T20</v>
      </c>
      <c r="C48" s="20" t="n">
        <f aca="false">ROUND(SUMIFS(ENTRIES!$E$2:$E$2000,ENTRIES!$B$2:$B$2000,A48,ENTRIES!$G$2:$G$2000,"TRANSFER"),2)</f>
        <v>0</v>
      </c>
      <c r="D48" s="3" t="str">
        <f aca="false">IF(ABS(C48)&lt;0.005,"OK","CHECK")</f>
        <v>OK</v>
      </c>
      <c r="E48" s="3" t="n">
        <f aca="false">COUNTIFS(ENTRIES!$B$2:$B$2000,A48,ENTRIES!$G$2:$G$2000,"TRANSFER")</f>
        <v>2</v>
      </c>
      <c r="F48" s="2"/>
    </row>
    <row r="49" customFormat="false" ht="15" hidden="false" customHeight="false" outlineLevel="0" collapsed="false">
      <c r="A49" s="5" t="n">
        <v>2003</v>
      </c>
      <c r="B49" s="3" t="str">
        <f aca="false">INDEX(ENTRIES!$A$2:$A$2000,MATCH(A49,ENTRIES!$B$2:$B$2000,0))</f>
        <v>T20</v>
      </c>
      <c r="C49" s="20" t="n">
        <f aca="false">ROUND(SUMIFS(ENTRIES!$E$2:$E$2000,ENTRIES!$B$2:$B$2000,A49,ENTRIES!$G$2:$G$2000,"TRANSFER"),2)</f>
        <v>0</v>
      </c>
      <c r="D49" s="3" t="str">
        <f aca="false">IF(ABS(C49)&lt;0.005,"OK","CHECK")</f>
        <v>OK</v>
      </c>
      <c r="E49" s="3" t="n">
        <f aca="false">COUNTIFS(ENTRIES!$B$2:$B$2000,A49,ENTRIES!$G$2:$G$2000,"TRANSFER")</f>
        <v>2</v>
      </c>
      <c r="F49" s="2"/>
    </row>
    <row r="50" customFormat="false" ht="15" hidden="false" customHeight="false" outlineLevel="0" collapsed="false">
      <c r="A50" s="5" t="n">
        <v>2101</v>
      </c>
      <c r="B50" s="3" t="str">
        <f aca="false">INDEX(ENTRIES!$A$2:$A$2000,MATCH(A50,ENTRIES!$B$2:$B$2000,0))</f>
        <v>T21</v>
      </c>
      <c r="C50" s="20" t="n">
        <f aca="false">ROUND(SUMIFS(ENTRIES!$E$2:$E$2000,ENTRIES!$B$2:$B$2000,A50,ENTRIES!$G$2:$G$2000,"TRANSFER"),2)</f>
        <v>0</v>
      </c>
      <c r="D50" s="3" t="str">
        <f aca="false">IF(ABS(C50)&lt;0.005,"OK","CHECK")</f>
        <v>OK</v>
      </c>
      <c r="E50" s="3" t="n">
        <f aca="false">COUNTIFS(ENTRIES!$B$2:$B$2000,A50,ENTRIES!$G$2:$G$2000,"TRANSFER")</f>
        <v>2</v>
      </c>
      <c r="F50" s="2"/>
    </row>
    <row r="51" customFormat="false" ht="15" hidden="false" customHeight="false" outlineLevel="0" collapsed="false">
      <c r="A51" s="5" t="n">
        <v>2102</v>
      </c>
      <c r="B51" s="3" t="str">
        <f aca="false">INDEX(ENTRIES!$A$2:$A$2000,MATCH(A51,ENTRIES!$B$2:$B$2000,0))</f>
        <v>T21</v>
      </c>
      <c r="C51" s="20" t="n">
        <f aca="false">ROUND(SUMIFS(ENTRIES!$E$2:$E$2000,ENTRIES!$B$2:$B$2000,A51,ENTRIES!$G$2:$G$2000,"TRANSFER"),2)</f>
        <v>0</v>
      </c>
      <c r="D51" s="3" t="str">
        <f aca="false">IF(ABS(C51)&lt;0.005,"OK","CHECK")</f>
        <v>OK</v>
      </c>
      <c r="E51" s="3" t="n">
        <f aca="false">COUNTIFS(ENTRIES!$B$2:$B$2000,A51,ENTRIES!$G$2:$G$2000,"TRANSFER")</f>
        <v>2</v>
      </c>
      <c r="F51" s="2"/>
    </row>
    <row r="52" customFormat="false" ht="15" hidden="false" customHeight="false" outlineLevel="0" collapsed="false">
      <c r="A52" s="5" t="n">
        <v>2201</v>
      </c>
      <c r="B52" s="3" t="str">
        <f aca="false">INDEX(ENTRIES!$A$2:$A$2000,MATCH(A52,ENTRIES!$B$2:$B$2000,0))</f>
        <v>T22</v>
      </c>
      <c r="C52" s="20" t="n">
        <f aca="false">ROUND(SUMIFS(ENTRIES!$E$2:$E$2000,ENTRIES!$B$2:$B$2000,A52,ENTRIES!$G$2:$G$2000,"TRANSFER"),2)</f>
        <v>0</v>
      </c>
      <c r="D52" s="3" t="str">
        <f aca="false">IF(ABS(C52)&lt;0.005,"OK","CHECK")</f>
        <v>OK</v>
      </c>
      <c r="E52" s="3" t="n">
        <f aca="false">COUNTIFS(ENTRIES!$B$2:$B$2000,A52,ENTRIES!$G$2:$G$2000,"TRANSFER")</f>
        <v>2</v>
      </c>
      <c r="F52" s="2"/>
    </row>
    <row r="53" customFormat="false" ht="15" hidden="false" customHeight="false" outlineLevel="0" collapsed="false">
      <c r="A53" s="5" t="n">
        <v>2302</v>
      </c>
      <c r="B53" s="3" t="str">
        <f aca="false">INDEX(ENTRIES!$A$2:$A$2000,MATCH(A53,ENTRIES!$B$2:$B$2000,0))</f>
        <v>T23</v>
      </c>
      <c r="C53" s="20" t="n">
        <f aca="false">ROUND(SUMIFS(ENTRIES!$E$2:$E$2000,ENTRIES!$B$2:$B$2000,A53,ENTRIES!$G$2:$G$2000,"TRANSFER"),2)</f>
        <v>0</v>
      </c>
      <c r="D53" s="3" t="str">
        <f aca="false">IF(ABS(C53)&lt;0.005,"OK","CHECK")</f>
        <v>OK</v>
      </c>
      <c r="E53" s="3" t="n">
        <f aca="false">COUNTIFS(ENTRIES!$B$2:$B$2000,A53,ENTRIES!$G$2:$G$2000,"TRANSFER")</f>
        <v>2</v>
      </c>
      <c r="F53" s="2"/>
    </row>
    <row r="54" customFormat="false" ht="15" hidden="false" customHeight="false" outlineLevel="0" collapsed="false">
      <c r="A54" s="5" t="n">
        <v>2401</v>
      </c>
      <c r="B54" s="3" t="str">
        <f aca="false">INDEX(ENTRIES!$A$2:$A$2000,MATCH(A54,ENTRIES!$B$2:$B$2000,0))</f>
        <v>T24</v>
      </c>
      <c r="C54" s="20" t="n">
        <f aca="false">ROUND(SUMIFS(ENTRIES!$E$2:$E$2000,ENTRIES!$B$2:$B$2000,A54,ENTRIES!$G$2:$G$2000,"TRANSFER"),2)</f>
        <v>0</v>
      </c>
      <c r="D54" s="3" t="str">
        <f aca="false">IF(ABS(C54)&lt;0.005,"OK","CHECK")</f>
        <v>OK</v>
      </c>
      <c r="E54" s="3" t="n">
        <f aca="false">COUNTIFS(ENTRIES!$B$2:$B$2000,A54,ENTRIES!$G$2:$G$2000,"TRANSFER")</f>
        <v>4</v>
      </c>
      <c r="F54" s="2"/>
    </row>
    <row r="55" customFormat="false" ht="15" hidden="false" customHeight="false" outlineLevel="0" collapsed="false">
      <c r="A55" s="5" t="n">
        <v>2501</v>
      </c>
      <c r="B55" s="3" t="str">
        <f aca="false">INDEX(ENTRIES!$A$2:$A$2000,MATCH(A55,ENTRIES!$B$2:$B$2000,0))</f>
        <v>T25</v>
      </c>
      <c r="C55" s="20" t="n">
        <f aca="false">ROUND(SUMIFS(ENTRIES!$E$2:$E$2000,ENTRIES!$B$2:$B$2000,A55,ENTRIES!$G$2:$G$2000,"TRANSFER"),2)</f>
        <v>0</v>
      </c>
      <c r="D55" s="3" t="str">
        <f aca="false">IF(ABS(C55)&lt;0.005,"OK","CHECK")</f>
        <v>OK</v>
      </c>
      <c r="E55" s="3" t="n">
        <f aca="false">COUNTIFS(ENTRIES!$B$2:$B$2000,A55,ENTRIES!$G$2:$G$2000,"TRANSFER")</f>
        <v>2</v>
      </c>
      <c r="F55" s="2"/>
    </row>
    <row r="56" customFormat="false" ht="15" hidden="false" customHeight="false" outlineLevel="0" collapsed="false">
      <c r="A56" s="5" t="n">
        <v>2801</v>
      </c>
      <c r="B56" s="3" t="str">
        <f aca="false">INDEX(ENTRIES!$A$2:$A$2000,MATCH(A56,ENTRIES!$B$2:$B$2000,0))</f>
        <v>T28</v>
      </c>
      <c r="C56" s="20" t="n">
        <f aca="false">ROUND(SUMIFS(ENTRIES!$E$2:$E$2000,ENTRIES!$B$2:$B$2000,A56,ENTRIES!$G$2:$G$2000,"TRANSFER"),2)</f>
        <v>0</v>
      </c>
      <c r="D56" s="3" t="str">
        <f aca="false">IF(ABS(C56)&lt;0.005,"OK","CHECK")</f>
        <v>OK</v>
      </c>
      <c r="E56" s="3" t="n">
        <f aca="false">COUNTIFS(ENTRIES!$B$2:$B$2000,A56,ENTRIES!$G$2:$G$2000,"TRANSFER")</f>
        <v>2</v>
      </c>
      <c r="F56" s="2"/>
    </row>
    <row r="57" customFormat="false" ht="15" hidden="false" customHeight="false" outlineLevel="0" collapsed="false">
      <c r="A57" s="5" t="n">
        <v>5202</v>
      </c>
      <c r="B57" s="3" t="str">
        <f aca="false">INDEX(ENTRIES!$A$2:$A$2000,MATCH(A57,ENTRIES!$B$2:$B$2000,0))</f>
        <v>Z2</v>
      </c>
      <c r="C57" s="20" t="n">
        <f aca="false">ROUND(SUMIFS(ENTRIES!$E$2:$E$2000,ENTRIES!$B$2:$B$2000,A57,ENTRIES!$G$2:$G$2000,"TRANSFER"),2)</f>
        <v>0</v>
      </c>
      <c r="D57" s="3" t="str">
        <f aca="false">IF(ABS(C57)&lt;0.005,"OK","CHECK")</f>
        <v>OK</v>
      </c>
      <c r="E57" s="3" t="n">
        <f aca="false">COUNTIFS(ENTRIES!$B$2:$B$2000,A57,ENTRIES!$G$2:$G$2000,"TRANSFER")</f>
        <v>2</v>
      </c>
      <c r="F57" s="2"/>
    </row>
    <row r="58" customFormat="false" ht="15" hidden="false" customHeight="false" outlineLevel="0" collapsed="false">
      <c r="A58" s="5" t="n">
        <v>5301</v>
      </c>
      <c r="B58" s="3" t="str">
        <f aca="false">INDEX(ENTRIES!$A$2:$A$2000,MATCH(A58,ENTRIES!$B$2:$B$2000,0))</f>
        <v>Z3</v>
      </c>
      <c r="C58" s="20" t="n">
        <f aca="false">ROUND(SUMIFS(ENTRIES!$E$2:$E$2000,ENTRIES!$B$2:$B$2000,A58,ENTRIES!$G$2:$G$2000,"TRANSFER"),2)</f>
        <v>0</v>
      </c>
      <c r="D58" s="3" t="str">
        <f aca="false">IF(ABS(C58)&lt;0.005,"OK","CHECK")</f>
        <v>OK</v>
      </c>
      <c r="E58" s="3" t="n">
        <f aca="false">COUNTIFS(ENTRIES!$B$2:$B$2000,A58,ENTRIES!$G$2:$G$2000,"TRANSFER")</f>
        <v>1</v>
      </c>
      <c r="F58" s="2"/>
    </row>
    <row r="59" customFormat="false" ht="15" hidden="false" customHeight="false" outlineLevel="0" collapsed="false">
      <c r="A59" s="5" t="n">
        <v>9001</v>
      </c>
      <c r="B59" s="3" t="str">
        <f aca="false">INDEX(ENTRIES!$A$2:$A$2000,MATCH(A59,ENTRIES!$B$2:$B$2000,0))</f>
        <v>B0</v>
      </c>
      <c r="C59" s="20" t="n">
        <f aca="false">ROUND(SUMIFS(ENTRIES!$E$2:$E$2000,ENTRIES!$B$2:$B$2000,A59,ENTRIES!$G$2:$G$2000,"TRANSFER"),2)</f>
        <v>0</v>
      </c>
      <c r="D59" s="3" t="str">
        <f aca="false">IF(ABS(C59)&lt;0.005,"OK","CHECK")</f>
        <v>OK</v>
      </c>
      <c r="E59" s="3" t="n">
        <f aca="false">COUNTIFS(ENTRIES!$B$2:$B$2000,A59,ENTRIES!$G$2:$G$2000,"TRANSFER")</f>
        <v>2</v>
      </c>
      <c r="F59" s="2"/>
    </row>
    <row r="60" customFormat="false" ht="15" hidden="false" customHeight="false" outlineLevel="0" collapsed="false">
      <c r="A60" s="5" t="n">
        <v>9105</v>
      </c>
      <c r="B60" s="3" t="str">
        <f aca="false">INDEX(ENTRIES!$A$2:$A$2000,MATCH(A60,ENTRIES!$B$2:$B$2000,0))</f>
        <v>B0</v>
      </c>
      <c r="C60" s="20" t="n">
        <f aca="false">ROUND(SUMIFS(ENTRIES!$E$2:$E$2000,ENTRIES!$B$2:$B$2000,A60,ENTRIES!$G$2:$G$2000,"TRANSFER"),2)</f>
        <v>0</v>
      </c>
      <c r="D60" s="3" t="str">
        <f aca="false">IF(ABS(C60)&lt;0.005,"OK","CHECK")</f>
        <v>OK</v>
      </c>
      <c r="E60" s="3" t="n">
        <f aca="false">COUNTIFS(ENTRIES!$B$2:$B$2000,A60,ENTRIES!$G$2:$G$2000,"TRANSFER")</f>
        <v>2</v>
      </c>
      <c r="F60" s="2"/>
    </row>
    <row r="61" customFormat="false" ht="15" hidden="false" customHeight="false" outlineLevel="0" collapsed="false">
      <c r="A61" s="5" t="n">
        <v>9193</v>
      </c>
      <c r="B61" s="3" t="str">
        <f aca="false">INDEX(ENTRIES!$A$2:$A$2000,MATCH(A61,ENTRIES!$B$2:$B$2000,0))</f>
        <v>B0</v>
      </c>
      <c r="C61" s="20" t="n">
        <f aca="false">ROUND(SUMIFS(ENTRIES!$E$2:$E$2000,ENTRIES!$B$2:$B$2000,A61,ENTRIES!$G$2:$G$2000,"TRANSFER"),2)</f>
        <v>0</v>
      </c>
      <c r="D61" s="3" t="str">
        <f aca="false">IF(ABS(C61)&lt;0.005,"OK","CHECK")</f>
        <v>OK</v>
      </c>
      <c r="E61" s="3" t="n">
        <f aca="false">COUNTIFS(ENTRIES!$B$2:$B$2000,A61,ENTRIES!$G$2:$G$2000,"TRANSFER")</f>
        <v>2</v>
      </c>
      <c r="F61" s="2"/>
    </row>
    <row r="62" customFormat="false" ht="15" hidden="false" customHeight="false" outlineLevel="0" collapsed="false">
      <c r="A62" s="5" t="n">
        <v>9272</v>
      </c>
      <c r="B62" s="3" t="str">
        <f aca="false">INDEX(ENTRIES!$A$2:$A$2000,MATCH(A62,ENTRIES!$B$2:$B$2000,0))</f>
        <v>B0</v>
      </c>
      <c r="C62" s="20" t="n">
        <f aca="false">ROUND(SUMIFS(ENTRIES!$E$2:$E$2000,ENTRIES!$B$2:$B$2000,A62,ENTRIES!$G$2:$G$2000,"TRANSFER"),2)</f>
        <v>0</v>
      </c>
      <c r="D62" s="3" t="str">
        <f aca="false">IF(ABS(C62)&lt;0.005,"OK","CHECK")</f>
        <v>OK</v>
      </c>
      <c r="E62" s="3" t="n">
        <f aca="false">COUNTIFS(ENTRIES!$B$2:$B$2000,A62,ENTRIES!$G$2:$G$2000,"TRANSFER")</f>
        <v>2</v>
      </c>
      <c r="F62" s="2"/>
    </row>
    <row r="63" customFormat="false" ht="15" hidden="false" customHeight="false" outlineLevel="0" collapsed="false">
      <c r="A63" s="5" t="n">
        <v>9277</v>
      </c>
      <c r="B63" s="3" t="str">
        <f aca="false">INDEX(ENTRIES!$A$2:$A$2000,MATCH(A63,ENTRIES!$B$2:$B$2000,0))</f>
        <v>B0</v>
      </c>
      <c r="C63" s="20" t="n">
        <f aca="false">ROUND(SUMIFS(ENTRIES!$E$2:$E$2000,ENTRIES!$B$2:$B$2000,A63,ENTRIES!$G$2:$G$2000,"TRANSFER"),2)</f>
        <v>0</v>
      </c>
      <c r="D63" s="3" t="str">
        <f aca="false">IF(ABS(C63)&lt;0.005,"OK","CHECK")</f>
        <v>OK</v>
      </c>
      <c r="E63" s="3" t="n">
        <f aca="false">COUNTIFS(ENTRIES!$B$2:$B$2000,A63,ENTRIES!$G$2:$G$2000,"TRANSFER")</f>
        <v>2</v>
      </c>
      <c r="F63" s="2"/>
    </row>
    <row r="64" customFormat="false" ht="15" hidden="false" customHeight="false" outlineLevel="0" collapsed="false">
      <c r="A64" s="5" t="n">
        <v>9321</v>
      </c>
      <c r="B64" s="3" t="str">
        <f aca="false">INDEX(ENTRIES!$A$2:$A$2000,MATCH(A64,ENTRIES!$B$2:$B$2000,0))</f>
        <v>B0</v>
      </c>
      <c r="C64" s="20" t="n">
        <f aca="false">ROUND(SUMIFS(ENTRIES!$E$2:$E$2000,ENTRIES!$B$2:$B$2000,A64,ENTRIES!$G$2:$G$2000,"TRANSFER"),2)</f>
        <v>0</v>
      </c>
      <c r="D64" s="3" t="str">
        <f aca="false">IF(ABS(C64)&lt;0.005,"OK","CHECK")</f>
        <v>OK</v>
      </c>
      <c r="E64" s="3" t="n">
        <f aca="false">COUNTIFS(ENTRIES!$B$2:$B$2000,A64,ENTRIES!$G$2:$G$2000,"TRANSFER")</f>
        <v>2</v>
      </c>
      <c r="F64" s="2"/>
    </row>
    <row r="65" customFormat="false" ht="15" hidden="false" customHeight="false" outlineLevel="0" collapsed="false">
      <c r="A65" s="5" t="n">
        <v>9361</v>
      </c>
      <c r="B65" s="3" t="str">
        <f aca="false">INDEX(ENTRIES!$A$2:$A$2000,MATCH(A65,ENTRIES!$B$2:$B$2000,0))</f>
        <v>B0</v>
      </c>
      <c r="C65" s="20" t="n">
        <f aca="false">ROUND(SUMIFS(ENTRIES!$E$2:$E$2000,ENTRIES!$B$2:$B$2000,A65,ENTRIES!$G$2:$G$2000,"TRANSFER"),2)</f>
        <v>0</v>
      </c>
      <c r="D65" s="3" t="str">
        <f aca="false">IF(ABS(C65)&lt;0.005,"OK","CHECK")</f>
        <v>OK</v>
      </c>
      <c r="E65" s="3" t="n">
        <f aca="false">COUNTIFS(ENTRIES!$B$2:$B$2000,A65,ENTRIES!$G$2:$G$2000,"TRANSFER")</f>
        <v>2</v>
      </c>
      <c r="F65" s="2"/>
    </row>
    <row r="66" customFormat="false" ht="15" hidden="false" customHeight="false" outlineLevel="0" collapsed="false">
      <c r="A66" s="5" t="n">
        <v>9408</v>
      </c>
      <c r="B66" s="3" t="str">
        <f aca="false">INDEX(ENTRIES!$A$2:$A$2000,MATCH(A66,ENTRIES!$B$2:$B$2000,0))</f>
        <v>B0</v>
      </c>
      <c r="C66" s="20" t="n">
        <f aca="false">ROUND(SUMIFS(ENTRIES!$E$2:$E$2000,ENTRIES!$B$2:$B$2000,A66,ENTRIES!$G$2:$G$2000,"TRANSFER"),2)</f>
        <v>0</v>
      </c>
      <c r="D66" s="3" t="str">
        <f aca="false">IF(ABS(C66)&lt;0.005,"OK","CHECK")</f>
        <v>OK</v>
      </c>
      <c r="E66" s="3" t="n">
        <f aca="false">COUNTIFS(ENTRIES!$B$2:$B$2000,A66,ENTRIES!$G$2:$G$2000,"TRANSFER")</f>
        <v>2</v>
      </c>
      <c r="F66" s="2"/>
    </row>
    <row r="67" customFormat="false" ht="15" hidden="false" customHeight="false" outlineLevel="0" collapsed="false">
      <c r="A67" s="5" t="n">
        <v>9456</v>
      </c>
      <c r="B67" s="3" t="str">
        <f aca="false">INDEX(ENTRIES!$A$2:$A$2000,MATCH(A67,ENTRIES!$B$2:$B$2000,0))</f>
        <v>B0</v>
      </c>
      <c r="C67" s="20" t="n">
        <f aca="false">ROUND(SUMIFS(ENTRIES!$E$2:$E$2000,ENTRIES!$B$2:$B$2000,A67,ENTRIES!$G$2:$G$2000,"TRANSFER"),2)</f>
        <v>0</v>
      </c>
      <c r="D67" s="3" t="str">
        <f aca="false">IF(ABS(C67)&lt;0.005,"OK","CHECK")</f>
        <v>OK</v>
      </c>
      <c r="E67" s="3" t="n">
        <f aca="false">COUNTIFS(ENTRIES!$B$2:$B$2000,A67,ENTRIES!$G$2:$G$2000,"TRANSFER")</f>
        <v>2</v>
      </c>
      <c r="F67" s="2"/>
    </row>
    <row r="68" customFormat="false" ht="15" hidden="false" customHeight="false" outlineLevel="0" collapsed="false">
      <c r="A68" s="5" t="n">
        <v>9504</v>
      </c>
      <c r="B68" s="3" t="str">
        <f aca="false">INDEX(ENTRIES!$A$2:$A$2000,MATCH(A68,ENTRIES!$B$2:$B$2000,0))</f>
        <v>B0</v>
      </c>
      <c r="C68" s="20" t="n">
        <f aca="false">ROUND(SUMIFS(ENTRIES!$E$2:$E$2000,ENTRIES!$B$2:$B$2000,A68,ENTRIES!$G$2:$G$2000,"TRANSFER"),2)</f>
        <v>0</v>
      </c>
      <c r="D68" s="3" t="str">
        <f aca="false">IF(ABS(C68)&lt;0.005,"OK","CHECK")</f>
        <v>OK</v>
      </c>
      <c r="E68" s="3" t="n">
        <f aca="false">COUNTIFS(ENTRIES!$B$2:$B$2000,A68,ENTRIES!$G$2:$G$2000,"TRANSFER")</f>
        <v>2</v>
      </c>
      <c r="F68" s="2"/>
    </row>
    <row r="69" customFormat="false" ht="15" hidden="false" customHeight="false" outlineLevel="0" collapsed="false">
      <c r="A69" s="5" t="n">
        <v>9541</v>
      </c>
      <c r="B69" s="3" t="str">
        <f aca="false">INDEX(ENTRIES!$A$2:$A$2000,MATCH(A69,ENTRIES!$B$2:$B$2000,0))</f>
        <v>B0</v>
      </c>
      <c r="C69" s="20" t="n">
        <f aca="false">ROUND(SUMIFS(ENTRIES!$E$2:$E$2000,ENTRIES!$B$2:$B$2000,A69,ENTRIES!$G$2:$G$2000,"TRANSFER"),2)</f>
        <v>0</v>
      </c>
      <c r="D69" s="3" t="str">
        <f aca="false">IF(ABS(C69)&lt;0.005,"OK","CHECK")</f>
        <v>OK</v>
      </c>
      <c r="E69" s="3" t="n">
        <f aca="false">COUNTIFS(ENTRIES!$B$2:$B$2000,A69,ENTRIES!$G$2:$G$2000,"TRANSFER")</f>
        <v>2</v>
      </c>
      <c r="F69" s="2"/>
    </row>
    <row r="70" customFormat="false" ht="15" hidden="false" customHeight="false" outlineLevel="0" collapsed="false">
      <c r="A70" s="5" t="n">
        <v>9590</v>
      </c>
      <c r="B70" s="3" t="str">
        <f aca="false">INDEX(ENTRIES!$A$2:$A$2000,MATCH(A70,ENTRIES!$B$2:$B$2000,0))</f>
        <v>B0</v>
      </c>
      <c r="C70" s="20" t="n">
        <f aca="false">ROUND(SUMIFS(ENTRIES!$E$2:$E$2000,ENTRIES!$B$2:$B$2000,A70,ENTRIES!$G$2:$G$2000,"TRANSFER"),2)</f>
        <v>0</v>
      </c>
      <c r="D70" s="3" t="str">
        <f aca="false">IF(ABS(C70)&lt;0.005,"OK","CHECK")</f>
        <v>OK</v>
      </c>
      <c r="E70" s="3" t="n">
        <f aca="false">COUNTIFS(ENTRIES!$B$2:$B$2000,A70,ENTRIES!$G$2:$G$2000,"TRANSFER")</f>
        <v>2</v>
      </c>
      <c r="F70" s="2"/>
    </row>
    <row r="71" customFormat="false" ht="15" hidden="false" customHeight="false" outlineLevel="0" collapsed="false">
      <c r="A71" s="5" t="n">
        <v>9605</v>
      </c>
      <c r="B71" s="3" t="str">
        <f aca="false">INDEX(ENTRIES!$A$2:$A$2000,MATCH(A71,ENTRIES!$B$2:$B$2000,0))</f>
        <v>B0</v>
      </c>
      <c r="C71" s="20" t="n">
        <f aca="false">ROUND(SUMIFS(ENTRIES!$E$2:$E$2000,ENTRIES!$B$2:$B$2000,A71,ENTRIES!$G$2:$G$2000,"TRANSFER"),2)</f>
        <v>0</v>
      </c>
      <c r="D71" s="3" t="str">
        <f aca="false">IF(ABS(C71)&lt;0.005,"OK","CHECK")</f>
        <v>OK</v>
      </c>
      <c r="E71" s="3" t="n">
        <f aca="false">COUNTIFS(ENTRIES!$B$2:$B$2000,A71,ENTRIES!$G$2:$G$2000,"TRANSFER")</f>
        <v>2</v>
      </c>
      <c r="F71" s="2"/>
    </row>
    <row r="72" customFormat="false" ht="15" hidden="false" customHeight="false" outlineLevel="0" collapsed="false">
      <c r="A72" s="5" t="n">
        <v>9613</v>
      </c>
      <c r="B72" s="3" t="str">
        <f aca="false">INDEX(ENTRIES!$A$2:$A$2000,MATCH(A72,ENTRIES!$B$2:$B$2000,0))</f>
        <v>B0</v>
      </c>
      <c r="C72" s="20" t="n">
        <f aca="false">ROUND(SUMIFS(ENTRIES!$E$2:$E$2000,ENTRIES!$B$2:$B$2000,A72,ENTRIES!$G$2:$G$2000,"TRANSFER"),2)</f>
        <v>0</v>
      </c>
      <c r="D72" s="3" t="str">
        <f aca="false">IF(ABS(C72)&lt;0.005,"OK","CHECK")</f>
        <v>OK</v>
      </c>
      <c r="E72" s="3" t="n">
        <f aca="false">COUNTIFS(ENTRIES!$B$2:$B$2000,A72,ENTRIES!$G$2:$G$2000,"TRANSFER")</f>
        <v>2</v>
      </c>
      <c r="F72" s="2"/>
    </row>
    <row r="73" customFormat="false" ht="15" hidden="false" customHeight="false" outlineLevel="0" collapsed="false">
      <c r="A73" s="5" t="n">
        <v>9621</v>
      </c>
      <c r="B73" s="3" t="str">
        <f aca="false">INDEX(ENTRIES!$A$2:$A$2000,MATCH(A73,ENTRIES!$B$2:$B$2000,0))</f>
        <v>B0</v>
      </c>
      <c r="C73" s="20" t="n">
        <f aca="false">ROUND(SUMIFS(ENTRIES!$E$2:$E$2000,ENTRIES!$B$2:$B$2000,A73,ENTRIES!$G$2:$G$2000,"TRANSFER"),2)</f>
        <v>0</v>
      </c>
      <c r="D73" s="3" t="str">
        <f aca="false">IF(ABS(C73)&lt;0.005,"OK","CHECK")</f>
        <v>OK</v>
      </c>
      <c r="E73" s="3" t="n">
        <f aca="false">COUNTIFS(ENTRIES!$B$2:$B$2000,A73,ENTRIES!$G$2:$G$2000,"TRANSFER")</f>
        <v>2</v>
      </c>
      <c r="F73" s="2"/>
    </row>
    <row r="74" customFormat="false" ht="15" hidden="false" customHeight="false" outlineLevel="0" collapsed="false">
      <c r="A74" s="5" t="n">
        <v>9629</v>
      </c>
      <c r="B74" s="3" t="str">
        <f aca="false">INDEX(ENTRIES!$A$2:$A$2000,MATCH(A74,ENTRIES!$B$2:$B$2000,0))</f>
        <v>B0</v>
      </c>
      <c r="C74" s="20" t="n">
        <f aca="false">ROUND(SUMIFS(ENTRIES!$E$2:$E$2000,ENTRIES!$B$2:$B$2000,A74,ENTRIES!$G$2:$G$2000,"TRANSFER"),2)</f>
        <v>0</v>
      </c>
      <c r="D74" s="3" t="str">
        <f aca="false">IF(ABS(C74)&lt;0.005,"OK","CHECK")</f>
        <v>OK</v>
      </c>
      <c r="E74" s="3" t="n">
        <f aca="false">COUNTIFS(ENTRIES!$B$2:$B$2000,A74,ENTRIES!$G$2:$G$2000,"TRANSFER")</f>
        <v>2</v>
      </c>
      <c r="F74" s="2"/>
    </row>
    <row r="75" customFormat="false" ht="15" hidden="false" customHeight="false" outlineLevel="0" collapsed="false">
      <c r="A75" s="5" t="n">
        <v>9637</v>
      </c>
      <c r="B75" s="3" t="str">
        <f aca="false">INDEX(ENTRIES!$A$2:$A$2000,MATCH(A75,ENTRIES!$B$2:$B$2000,0))</f>
        <v>B0</v>
      </c>
      <c r="C75" s="20" t="n">
        <f aca="false">ROUND(SUMIFS(ENTRIES!$E$2:$E$2000,ENTRIES!$B$2:$B$2000,A75,ENTRIES!$G$2:$G$2000,"TRANSFER"),2)</f>
        <v>0</v>
      </c>
      <c r="D75" s="3" t="str">
        <f aca="false">IF(ABS(C75)&lt;0.005,"OK","CHECK")</f>
        <v>OK</v>
      </c>
      <c r="E75" s="3" t="n">
        <f aca="false">COUNTIFS(ENTRIES!$B$2:$B$2000,A75,ENTRIES!$G$2:$G$2000,"TRANSFER")</f>
        <v>2</v>
      </c>
      <c r="F75" s="2"/>
    </row>
    <row r="76" customFormat="false" ht="15" hidden="false" customHeight="false" outlineLevel="0" collapsed="false">
      <c r="A76" s="5" t="n">
        <v>9644</v>
      </c>
      <c r="B76" s="3" t="str">
        <f aca="false">INDEX(ENTRIES!$A$2:$A$2000,MATCH(A76,ENTRIES!$B$2:$B$2000,0))</f>
        <v>B0</v>
      </c>
      <c r="C76" s="20" t="n">
        <f aca="false">ROUND(SUMIFS(ENTRIES!$E$2:$E$2000,ENTRIES!$B$2:$B$2000,A76,ENTRIES!$G$2:$G$2000,"TRANSFER"),2)</f>
        <v>0</v>
      </c>
      <c r="D76" s="3" t="str">
        <f aca="false">IF(ABS(C76)&lt;0.005,"OK","CHECK")</f>
        <v>OK</v>
      </c>
      <c r="E76" s="3" t="n">
        <f aca="false">COUNTIFS(ENTRIES!$B$2:$B$2000,A76,ENTRIES!$G$2:$G$2000,"TRANSFER")</f>
        <v>2</v>
      </c>
      <c r="F76" s="2"/>
    </row>
    <row r="77" customFormat="false" ht="15" hidden="false" customHeight="false" outlineLevel="0" collapsed="false">
      <c r="A77" s="5" t="n">
        <v>9709</v>
      </c>
      <c r="B77" s="3" t="str">
        <f aca="false">INDEX(ENTRIES!$A$2:$A$2000,MATCH(A77,ENTRIES!$B$2:$B$2000,0))</f>
        <v>B0</v>
      </c>
      <c r="C77" s="20" t="n">
        <f aca="false">ROUND(SUMIFS(ENTRIES!$E$2:$E$2000,ENTRIES!$B$2:$B$2000,A77,ENTRIES!$G$2:$G$2000,"TRANSFER"),2)</f>
        <v>0</v>
      </c>
      <c r="D77" s="3" t="str">
        <f aca="false">IF(ABS(C77)&lt;0.005,"OK","CHECK")</f>
        <v>OK</v>
      </c>
      <c r="E77" s="3" t="n">
        <f aca="false">COUNTIFS(ENTRIES!$B$2:$B$2000,A77,ENTRIES!$G$2:$G$2000,"TRANSFER")</f>
        <v>2</v>
      </c>
      <c r="F77" s="2"/>
    </row>
    <row r="78" customFormat="false" ht="15" hidden="false" customHeight="false" outlineLevel="0" collapsed="false">
      <c r="A78" s="5" t="n">
        <v>9710</v>
      </c>
      <c r="B78" s="3" t="str">
        <f aca="false">INDEX(ENTRIES!$A$2:$A$2000,MATCH(A78,ENTRIES!$B$2:$B$2000,0))</f>
        <v>B0</v>
      </c>
      <c r="C78" s="20" t="n">
        <f aca="false">ROUND(SUMIFS(ENTRIES!$E$2:$E$2000,ENTRIES!$B$2:$B$2000,A78,ENTRIES!$G$2:$G$2000,"TRANSFER"),2)</f>
        <v>0</v>
      </c>
      <c r="D78" s="3" t="str">
        <f aca="false">IF(ABS(C78)&lt;0.005,"OK","CHECK")</f>
        <v>OK</v>
      </c>
      <c r="E78" s="3" t="n">
        <f aca="false">COUNTIFS(ENTRIES!$B$2:$B$2000,A78,ENTRIES!$G$2:$G$2000,"TRANSFER")</f>
        <v>2</v>
      </c>
      <c r="F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</row>
    <row r="81" customFormat="false" ht="15" hidden="false" customHeight="false" outlineLevel="0" collapsed="false">
      <c r="A81" s="4" t="s">
        <v>467</v>
      </c>
      <c r="B81" s="2"/>
      <c r="C81" s="2"/>
      <c r="D81" s="2"/>
      <c r="E81" s="2"/>
      <c r="F81" s="2"/>
    </row>
    <row r="82" customFormat="false" ht="15" hidden="false" customHeight="false" outlineLevel="0" collapsed="false">
      <c r="A82" s="7" t="s">
        <v>150</v>
      </c>
      <c r="B82" s="7"/>
      <c r="C82" s="7" t="s">
        <v>21</v>
      </c>
      <c r="D82" s="7" t="s">
        <v>449</v>
      </c>
      <c r="E82" s="7" t="s">
        <v>468</v>
      </c>
      <c r="F82" s="2"/>
    </row>
    <row r="83" customFormat="false" ht="15" hidden="false" customHeight="false" outlineLevel="0" collapsed="false">
      <c r="A83" s="5" t="s">
        <v>469</v>
      </c>
      <c r="B83" s="2"/>
      <c r="C83" s="20" t="n">
        <f aca="false">ROUND(SUMIFS(ENTRIES!$E$2:$E$2000,ENTRIES!$O$2:$O$2000,A83,ENTRIES!$G$2:$G$2000,"TRANSFER"),2)</f>
        <v>0</v>
      </c>
      <c r="D83" s="3" t="str">
        <f aca="false">IF(ABS(C83)&lt;0.005,"OK","REVIEW")</f>
        <v>OK</v>
      </c>
      <c r="E83" s="13" t="str">
        <f aca="false">IF(D83="OK","","Look for pairs with legs in different months")</f>
        <v/>
      </c>
      <c r="F83" s="2"/>
    </row>
    <row r="84" customFormat="false" ht="15" hidden="false" customHeight="false" outlineLevel="0" collapsed="false">
      <c r="A84" s="5" t="s">
        <v>470</v>
      </c>
      <c r="B84" s="2"/>
      <c r="C84" s="20" t="n">
        <f aca="false">ROUND(SUMIFS(ENTRIES!$E$2:$E$2000,ENTRIES!$O$2:$O$2000,A84,ENTRIES!$G$2:$G$2000,"TRANSFER"),2)</f>
        <v>0</v>
      </c>
      <c r="D84" s="3" t="str">
        <f aca="false">IF(ABS(C84)&lt;0.005,"OK","REVIEW")</f>
        <v>OK</v>
      </c>
      <c r="E84" s="13" t="str">
        <f aca="false">IF(D84="OK","","Look for pairs with legs in different months")</f>
        <v/>
      </c>
      <c r="F84" s="2"/>
    </row>
    <row r="85" customFormat="false" ht="15" hidden="false" customHeight="false" outlineLevel="0" collapsed="false">
      <c r="A85" s="5" t="s">
        <v>471</v>
      </c>
      <c r="B85" s="2"/>
      <c r="C85" s="20" t="n">
        <f aca="false">ROUND(SUMIFS(ENTRIES!$E$2:$E$2000,ENTRIES!$O$2:$O$2000,A85,ENTRIES!$G$2:$G$2000,"TRANSFER"),2)</f>
        <v>0</v>
      </c>
      <c r="D85" s="3" t="str">
        <f aca="false">IF(ABS(C85)&lt;0.005,"OK","REVIEW")</f>
        <v>OK</v>
      </c>
      <c r="E85" s="13" t="str">
        <f aca="false">IF(D85="OK","","Look for pairs with legs in different months")</f>
        <v/>
      </c>
      <c r="F85" s="2"/>
    </row>
    <row r="86" customFormat="false" ht="15" hidden="false" customHeight="false" outlineLevel="0" collapsed="false">
      <c r="A86" s="5" t="s">
        <v>472</v>
      </c>
      <c r="B86" s="2"/>
      <c r="C86" s="20" t="n">
        <f aca="false">ROUND(SUMIFS(ENTRIES!$E$2:$E$2000,ENTRIES!$O$2:$O$2000,A86,ENTRIES!$G$2:$G$2000,"TRANSFER"),2)</f>
        <v>-500</v>
      </c>
      <c r="D86" s="3" t="str">
        <f aca="false">IF(ABS(C86)&lt;0.005,"OK","REVIEW")</f>
        <v>REVIEW</v>
      </c>
      <c r="E86" s="13" t="str">
        <f aca="false">IF(D86="OK","","Look for pairs with legs in different months")</f>
        <v>Look for pairs with legs in different months</v>
      </c>
      <c r="F86" s="2"/>
    </row>
    <row r="87" customFormat="false" ht="15" hidden="false" customHeight="false" outlineLevel="0" collapsed="false">
      <c r="A87" s="5" t="s">
        <v>473</v>
      </c>
      <c r="B87" s="2"/>
      <c r="C87" s="20" t="n">
        <f aca="false">ROUND(SUMIFS(ENTRIES!$E$2:$E$2000,ENTRIES!$O$2:$O$2000,A87,ENTRIES!$G$2:$G$2000,"TRANSFER"),2)</f>
        <v>500</v>
      </c>
      <c r="D87" s="3" t="str">
        <f aca="false">IF(ABS(C87)&lt;0.005,"OK","REVIEW")</f>
        <v>REVIEW</v>
      </c>
      <c r="E87" s="13" t="str">
        <f aca="false">IF(D87="OK","","Look for pairs with legs in different months")</f>
        <v>Look for pairs with legs in different months</v>
      </c>
      <c r="F87" s="2"/>
    </row>
    <row r="88" customFormat="false" ht="15" hidden="false" customHeight="false" outlineLevel="0" collapsed="false">
      <c r="A88" s="5" t="s">
        <v>474</v>
      </c>
      <c r="B88" s="2"/>
      <c r="C88" s="20" t="n">
        <f aca="false">ROUND(SUMIFS(ENTRIES!$E$2:$E$2000,ENTRIES!$O$2:$O$2000,A88,ENTRIES!$G$2:$G$2000,"TRANSFER"),2)</f>
        <v>0</v>
      </c>
      <c r="D88" s="3" t="str">
        <f aca="false">IF(ABS(C88)&lt;0.005,"OK","REVIEW")</f>
        <v>OK</v>
      </c>
      <c r="E88" s="13" t="str">
        <f aca="false">IF(D88="OK","","Look for pairs with legs in different months")</f>
        <v/>
      </c>
      <c r="F88" s="2"/>
    </row>
    <row r="89" customFormat="false" ht="15" hidden="false" customHeight="false" outlineLevel="0" collapsed="false">
      <c r="A89" s="5" t="s">
        <v>475</v>
      </c>
      <c r="B89" s="2"/>
      <c r="C89" s="20" t="n">
        <f aca="false">ROUND(SUMIFS(ENTRIES!$E$2:$E$2000,ENTRIES!$O$2:$O$2000,A89,ENTRIES!$G$2:$G$2000,"TRANSFER"),2)</f>
        <v>0</v>
      </c>
      <c r="D89" s="3" t="str">
        <f aca="false">IF(ABS(C89)&lt;0.005,"OK","REVIEW")</f>
        <v>OK</v>
      </c>
      <c r="E89" s="13" t="str">
        <f aca="false">IF(D89="OK","","Look for pairs with legs in different months")</f>
        <v/>
      </c>
      <c r="F89" s="2"/>
    </row>
    <row r="90" customFormat="false" ht="15" hidden="false" customHeight="false" outlineLevel="0" collapsed="false">
      <c r="A90" s="5" t="s">
        <v>476</v>
      </c>
      <c r="B90" s="2"/>
      <c r="C90" s="20" t="n">
        <f aca="false">ROUND(SUMIFS(ENTRIES!$E$2:$E$2000,ENTRIES!$O$2:$O$2000,A90,ENTRIES!$G$2:$G$2000,"TRANSFER"),2)</f>
        <v>0</v>
      </c>
      <c r="D90" s="3" t="str">
        <f aca="false">IF(ABS(C90)&lt;0.005,"OK","REVIEW")</f>
        <v>OK</v>
      </c>
      <c r="E90" s="13" t="str">
        <f aca="false">IF(D90="OK","","Look for pairs with legs in different months")</f>
        <v/>
      </c>
      <c r="F90" s="2"/>
    </row>
    <row r="91" customFormat="false" ht="15" hidden="false" customHeight="false" outlineLevel="0" collapsed="false">
      <c r="A91" s="5" t="s">
        <v>477</v>
      </c>
      <c r="B91" s="2"/>
      <c r="C91" s="20" t="n">
        <f aca="false">ROUND(SUMIFS(ENTRIES!$E$2:$E$2000,ENTRIES!$O$2:$O$2000,A91,ENTRIES!$G$2:$G$2000,"TRANSFER"),2)</f>
        <v>0</v>
      </c>
      <c r="D91" s="3" t="str">
        <f aca="false">IF(ABS(C91)&lt;0.005,"OK","REVIEW")</f>
        <v>OK</v>
      </c>
      <c r="E91" s="13" t="str">
        <f aca="false">IF(D91="OK","","Look for pairs with legs in different months")</f>
        <v/>
      </c>
      <c r="F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</row>
    <row r="94" customFormat="false" ht="15" hidden="false" customHeight="false" outlineLevel="0" collapsed="false">
      <c r="A94" s="4" t="s">
        <v>478</v>
      </c>
      <c r="B94" s="2"/>
      <c r="C94" s="2"/>
      <c r="D94" s="2"/>
      <c r="E94" s="2"/>
      <c r="F94" s="2"/>
    </row>
    <row r="95" customFormat="false" ht="15" hidden="false" customHeight="false" outlineLevel="0" collapsed="false">
      <c r="A95" s="7" t="s">
        <v>138</v>
      </c>
      <c r="B95" s="7" t="s">
        <v>479</v>
      </c>
      <c r="C95" s="7" t="s">
        <v>480</v>
      </c>
      <c r="D95" s="7" t="s">
        <v>481</v>
      </c>
      <c r="E95" s="7" t="s">
        <v>482</v>
      </c>
      <c r="F95" s="7" t="s">
        <v>449</v>
      </c>
    </row>
    <row r="96" customFormat="false" ht="15" hidden="false" customHeight="false" outlineLevel="0" collapsed="false">
      <c r="A96" s="5" t="s">
        <v>152</v>
      </c>
      <c r="B96" s="3" t="s">
        <v>483</v>
      </c>
      <c r="C96" s="3" t="str">
        <f aca="false">INDEX(CODES!$G$5:$G$30,MATCH(A96,CODES!$F$5:$F$30,0))</f>
        <v>real</v>
      </c>
      <c r="D96" s="20" t="n">
        <f aca="false">ROUND(SUMIFS(ENTRIES!$E$2:$E$2000,ENTRIES!$C$2:$C$2000,A96),2)</f>
        <v>5373.96</v>
      </c>
      <c r="E96" s="22" t="str">
        <f aca="false">IF(LEFT(A96,5)="CASH_",IF(A96="CASH_EUR","",SUMIFS(ENTRIES!$K$2:$K$2000,ENTRIES!$C$2:$C$2000,A96)),IF(A96="MULTI_THB",SUMIFS(ENTRIES!$K$2:$K$2000,ENTRIES!$C$2:$C$2000,A96),""))</f>
        <v/>
      </c>
      <c r="F96" s="3" t="str">
        <f aca="false">IF(C96="helper",IF(ABS(D96)&lt;0.005,"OK","CHECK"),"compare")</f>
        <v>compare</v>
      </c>
    </row>
    <row r="97" customFormat="false" ht="15" hidden="false" customHeight="false" outlineLevel="0" collapsed="false">
      <c r="A97" s="5" t="s">
        <v>157</v>
      </c>
      <c r="B97" s="3" t="s">
        <v>484</v>
      </c>
      <c r="C97" s="3" t="str">
        <f aca="false">INDEX(CODES!$G$5:$G$30,MATCH(A97,CODES!$F$5:$F$30,0))</f>
        <v>real</v>
      </c>
      <c r="D97" s="20" t="n">
        <f aca="false">ROUND(SUMIFS(ENTRIES!$E$2:$E$2000,ENTRIES!$C$2:$C$2000,A97),2)</f>
        <v>8485.3</v>
      </c>
      <c r="E97" s="22" t="str">
        <f aca="false">IF(LEFT(A97,5)="CASH_",IF(A97="CASH_EUR","",SUMIFS(ENTRIES!$K$2:$K$2000,ENTRIES!$C$2:$C$2000,A97)),IF(A97="MULTI_THB",SUMIFS(ENTRIES!$K$2:$K$2000,ENTRIES!$C$2:$C$2000,A97),""))</f>
        <v/>
      </c>
      <c r="F97" s="3" t="str">
        <f aca="false">IF(C97="helper",IF(ABS(D97)&lt;0.005,"OK","CHECK"),"compare")</f>
        <v>compare</v>
      </c>
    </row>
    <row r="98" customFormat="false" ht="15" hidden="false" customHeight="false" outlineLevel="0" collapsed="false">
      <c r="A98" s="5" t="s">
        <v>158</v>
      </c>
      <c r="B98" s="3" t="s">
        <v>485</v>
      </c>
      <c r="C98" s="3" t="str">
        <f aca="false">INDEX(CODES!$G$5:$G$30,MATCH(A98,CODES!$F$5:$F$30,0))</f>
        <v>real</v>
      </c>
      <c r="D98" s="20" t="n">
        <f aca="false">ROUND(SUMIFS(ENTRIES!$E$2:$E$2000,ENTRIES!$C$2:$C$2000,A98),2)</f>
        <v>3200</v>
      </c>
      <c r="E98" s="22" t="str">
        <f aca="false">IF(LEFT(A98,5)="CASH_",IF(A98="CASH_EUR","",SUMIFS(ENTRIES!$K$2:$K$2000,ENTRIES!$C$2:$C$2000,A98)),IF(A98="MULTI_THB",SUMIFS(ENTRIES!$K$2:$K$2000,ENTRIES!$C$2:$C$2000,A98),""))</f>
        <v/>
      </c>
      <c r="F98" s="3" t="str">
        <f aca="false">IF(C98="helper",IF(ABS(D98)&lt;0.005,"OK","CHECK"),"compare")</f>
        <v>compare</v>
      </c>
    </row>
    <row r="99" customFormat="false" ht="15" hidden="false" customHeight="false" outlineLevel="0" collapsed="false">
      <c r="A99" s="5" t="s">
        <v>171</v>
      </c>
      <c r="B99" s="3" t="s">
        <v>486</v>
      </c>
      <c r="C99" s="3" t="str">
        <f aca="false">INDEX(CODES!$G$5:$G$30,MATCH(A99,CODES!$F$5:$F$30,0))</f>
        <v>real</v>
      </c>
      <c r="D99" s="20" t="n">
        <f aca="false">ROUND(SUMIFS(ENTRIES!$E$2:$E$2000,ENTRIES!$C$2:$C$2000,A99),2)</f>
        <v>-49.14</v>
      </c>
      <c r="E99" s="22" t="str">
        <f aca="false">IF(LEFT(A99,5)="CASH_",IF(A99="CASH_EUR","",SUMIFS(ENTRIES!$K$2:$K$2000,ENTRIES!$C$2:$C$2000,A99)),IF(A99="MULTI_THB",SUMIFS(ENTRIES!$K$2:$K$2000,ENTRIES!$C$2:$C$2000,A99),""))</f>
        <v/>
      </c>
      <c r="F99" s="3" t="str">
        <f aca="false">IF(C99="helper",IF(ABS(D99)&lt;0.005,"OK","CHECK"),"compare")</f>
        <v>compare</v>
      </c>
    </row>
    <row r="100" customFormat="false" ht="15" hidden="false" customHeight="false" outlineLevel="0" collapsed="false">
      <c r="A100" s="5" t="s">
        <v>337</v>
      </c>
      <c r="B100" s="3" t="s">
        <v>487</v>
      </c>
      <c r="C100" s="3" t="str">
        <f aca="false">INDEX(CODES!$G$5:$G$30,MATCH(A100,CODES!$F$5:$F$30,0))</f>
        <v>real</v>
      </c>
      <c r="D100" s="20" t="n">
        <f aca="false">ROUND(SUMIFS(ENTRIES!$E$2:$E$2000,ENTRIES!$C$2:$C$2000,A100),2)</f>
        <v>149.5</v>
      </c>
      <c r="E100" s="22" t="str">
        <f aca="false">IF(LEFT(A100,5)="CASH_",IF(A100="CASH_EUR","",SUMIFS(ENTRIES!$K$2:$K$2000,ENTRIES!$C$2:$C$2000,A100)),IF(A100="MULTI_THB",SUMIFS(ENTRIES!$K$2:$K$2000,ENTRIES!$C$2:$C$2000,A100),""))</f>
        <v/>
      </c>
      <c r="F100" s="3" t="str">
        <f aca="false">IF(C100="helper",IF(ABS(D100)&lt;0.005,"OK","CHECK"),"compare")</f>
        <v>compare</v>
      </c>
    </row>
    <row r="101" customFormat="false" ht="15" hidden="false" customHeight="false" outlineLevel="0" collapsed="false">
      <c r="A101" s="5" t="s">
        <v>213</v>
      </c>
      <c r="B101" s="3" t="s">
        <v>488</v>
      </c>
      <c r="C101" s="3" t="str">
        <f aca="false">INDEX(CODES!$G$5:$G$30,MATCH(A101,CODES!$F$5:$F$30,0))</f>
        <v>real</v>
      </c>
      <c r="D101" s="20" t="n">
        <f aca="false">ROUND(SUMIFS(ENTRIES!$E$2:$E$2000,ENTRIES!$C$2:$C$2000,A101),2)</f>
        <v>375.76</v>
      </c>
      <c r="E101" s="22" t="str">
        <f aca="false">IF(LEFT(A101,5)="CASH_",IF(A101="CASH_EUR","",SUMIFS(ENTRIES!$K$2:$K$2000,ENTRIES!$C$2:$C$2000,A101)),IF(A101="MULTI_THB",SUMIFS(ENTRIES!$K$2:$K$2000,ENTRIES!$C$2:$C$2000,A101),""))</f>
        <v/>
      </c>
      <c r="F101" s="3" t="str">
        <f aca="false">IF(C101="helper",IF(ABS(D101)&lt;0.005,"OK","CHECK"),"compare")</f>
        <v>compare</v>
      </c>
    </row>
    <row r="102" customFormat="false" ht="15" hidden="false" customHeight="false" outlineLevel="0" collapsed="false">
      <c r="A102" s="5" t="s">
        <v>239</v>
      </c>
      <c r="B102" s="3" t="s">
        <v>489</v>
      </c>
      <c r="C102" s="3" t="str">
        <f aca="false">INDEX(CODES!$G$5:$G$30,MATCH(A102,CODES!$F$5:$F$30,0))</f>
        <v>real</v>
      </c>
      <c r="D102" s="20" t="n">
        <f aca="false">ROUND(SUMIFS(ENTRIES!$E$2:$E$2000,ENTRIES!$C$2:$C$2000,A102),2)</f>
        <v>251.11</v>
      </c>
      <c r="E102" s="22" t="n">
        <f aca="false">IF(LEFT(A102,5)="CASH_",IF(A102="CASH_EUR","",SUMIFS(ENTRIES!$K$2:$K$2000,ENTRIES!$C$2:$C$2000,A102)),IF(A102="MULTI_THB",SUMIFS(ENTRIES!$K$2:$K$2000,ENTRIES!$C$2:$C$2000,A102),""))</f>
        <v>9254</v>
      </c>
      <c r="F102" s="3" t="str">
        <f aca="false">IF(C102="helper",IF(ABS(D102)&lt;0.005,"OK","CHECK"),"compare")</f>
        <v>compare</v>
      </c>
    </row>
    <row r="103" customFormat="false" ht="15" hidden="false" customHeight="false" outlineLevel="0" collapsed="false">
      <c r="A103" s="5" t="s">
        <v>330</v>
      </c>
      <c r="B103" s="3" t="s">
        <v>490</v>
      </c>
      <c r="C103" s="3" t="str">
        <f aca="false">INDEX(CODES!$G$5:$G$30,MATCH(A103,CODES!$F$5:$F$30,0))</f>
        <v>real</v>
      </c>
      <c r="D103" s="20" t="n">
        <f aca="false">ROUND(SUMIFS(ENTRIES!$E$2:$E$2000,ENTRIES!$C$2:$C$2000,A103),2)</f>
        <v>0</v>
      </c>
      <c r="E103" s="22" t="str">
        <f aca="false">IF(LEFT(A103,5)="CASH_",IF(A103="CASH_EUR","",SUMIFS(ENTRIES!$K$2:$K$2000,ENTRIES!$C$2:$C$2000,A103)),IF(A103="MULTI_THB",SUMIFS(ENTRIES!$K$2:$K$2000,ENTRIES!$C$2:$C$2000,A103),""))</f>
        <v/>
      </c>
      <c r="F103" s="3" t="str">
        <f aca="false">IF(C103="helper",IF(ABS(D103)&lt;0.005,"OK","CHECK"),"compare")</f>
        <v>compare</v>
      </c>
    </row>
    <row r="104" customFormat="false" ht="15" hidden="false" customHeight="false" outlineLevel="0" collapsed="false">
      <c r="A104" s="5" t="s">
        <v>363</v>
      </c>
      <c r="B104" s="3" t="s">
        <v>491</v>
      </c>
      <c r="C104" s="3" t="str">
        <f aca="false">INDEX(CODES!$G$5:$G$30,MATCH(A104,CODES!$F$5:$F$30,0))</f>
        <v>real</v>
      </c>
      <c r="D104" s="20" t="n">
        <f aca="false">ROUND(SUMIFS(ENTRIES!$E$2:$E$2000,ENTRIES!$C$2:$C$2000,A104),2)</f>
        <v>0</v>
      </c>
      <c r="E104" s="22" t="str">
        <f aca="false">IF(LEFT(A104,5)="CASH_",IF(A104="CASH_EUR","",SUMIFS(ENTRIES!$K$2:$K$2000,ENTRIES!$C$2:$C$2000,A104)),IF(A104="MULTI_THB",SUMIFS(ENTRIES!$K$2:$K$2000,ENTRIES!$C$2:$C$2000,A104),""))</f>
        <v/>
      </c>
      <c r="F104" s="3" t="str">
        <f aca="false">IF(C104="helper",IF(ABS(D104)&lt;0.005,"OK","CHECK"),"compare")</f>
        <v>compare</v>
      </c>
    </row>
    <row r="105" customFormat="false" ht="15" hidden="false" customHeight="false" outlineLevel="0" collapsed="false">
      <c r="A105" s="5" t="s">
        <v>159</v>
      </c>
      <c r="B105" s="3" t="s">
        <v>492</v>
      </c>
      <c r="C105" s="3" t="str">
        <f aca="false">INDEX(CODES!$G$5:$G$30,MATCH(A105,CODES!$F$5:$F$30,0))</f>
        <v>real</v>
      </c>
      <c r="D105" s="20" t="n">
        <f aca="false">ROUND(SUMIFS(ENTRIES!$E$2:$E$2000,ENTRIES!$C$2:$C$2000,A105),2)</f>
        <v>242</v>
      </c>
      <c r="E105" s="22" t="str">
        <f aca="false">IF(LEFT(A105,5)="CASH_",IF(A105="CASH_EUR","",SUMIFS(ENTRIES!$K$2:$K$2000,ENTRIES!$C$2:$C$2000,A105)),IF(A105="MULTI_THB",SUMIFS(ENTRIES!$K$2:$K$2000,ENTRIES!$C$2:$C$2000,A105),""))</f>
        <v/>
      </c>
      <c r="F105" s="3" t="str">
        <f aca="false">IF(C105="helper",IF(ABS(D105)&lt;0.005,"OK","CHECK"),"compare")</f>
        <v>compare</v>
      </c>
    </row>
    <row r="106" customFormat="false" ht="15" hidden="false" customHeight="false" outlineLevel="0" collapsed="false">
      <c r="A106" s="5" t="s">
        <v>187</v>
      </c>
      <c r="B106" s="3" t="s">
        <v>493</v>
      </c>
      <c r="C106" s="3" t="str">
        <f aca="false">INDEX(CODES!$G$5:$G$30,MATCH(A106,CODES!$F$5:$F$30,0))</f>
        <v>real</v>
      </c>
      <c r="D106" s="20" t="n">
        <f aca="false">ROUND(SUMIFS(ENTRIES!$E$2:$E$2000,ENTRIES!$C$2:$C$2000,A106),2)</f>
        <v>93.94</v>
      </c>
      <c r="E106" s="22" t="n">
        <f aca="false">IF(LEFT(A106,5)="CASH_",IF(A106="CASH_EUR","",SUMIFS(ENTRIES!$K$2:$K$2000,ENTRIES!$C$2:$C$2000,A106)),IF(A106="MULTI_THB",SUMIFS(ENTRIES!$K$2:$K$2000,ENTRIES!$C$2:$C$2000,A106),""))</f>
        <v>3473</v>
      </c>
      <c r="F106" s="3" t="str">
        <f aca="false">IF(C106="helper",IF(ABS(D106)&lt;0.005,"OK","CHECK"),"compare")</f>
        <v>compare</v>
      </c>
    </row>
    <row r="107" customFormat="false" ht="15" hidden="false" customHeight="false" outlineLevel="0" collapsed="false">
      <c r="A107" s="5" t="s">
        <v>259</v>
      </c>
      <c r="B107" s="3" t="s">
        <v>494</v>
      </c>
      <c r="C107" s="3" t="str">
        <f aca="false">INDEX(CODES!$G$5:$G$30,MATCH(A107,CODES!$F$5:$F$30,0))</f>
        <v>real</v>
      </c>
      <c r="D107" s="20" t="n">
        <f aca="false">ROUND(SUMIFS(ENTRIES!$E$2:$E$2000,ENTRIES!$C$2:$C$2000,A107),2)</f>
        <v>16.61</v>
      </c>
      <c r="E107" s="22" t="n">
        <f aca="false">IF(LEFT(A107,5)="CASH_",IF(A107="CASH_EUR","",SUMIFS(ENTRIES!$K$2:$K$2000,ENTRIES!$C$2:$C$2000,A107)),IF(A107="MULTI_THB",SUMIFS(ENTRIES!$K$2:$K$2000,ENTRIES!$C$2:$C$2000,A107),""))</f>
        <v>455000</v>
      </c>
      <c r="F107" s="3" t="str">
        <f aca="false">IF(C107="helper",IF(ABS(D107)&lt;0.005,"OK","CHECK"),"compare")</f>
        <v>compare</v>
      </c>
    </row>
    <row r="108" customFormat="false" ht="15" hidden="false" customHeight="false" outlineLevel="0" collapsed="false">
      <c r="A108" s="5" t="s">
        <v>160</v>
      </c>
      <c r="B108" s="3" t="s">
        <v>495</v>
      </c>
      <c r="C108" s="3" t="str">
        <f aca="false">INDEX(CODES!$G$5:$G$30,MATCH(A108,CODES!$F$5:$F$30,0))</f>
        <v>real</v>
      </c>
      <c r="D108" s="20" t="n">
        <f aca="false">ROUND(SUMIFS(ENTRIES!$E$2:$E$2000,ENTRIES!$C$2:$C$2000,A108),2)</f>
        <v>0</v>
      </c>
      <c r="E108" s="22" t="n">
        <f aca="false">IF(LEFT(A108,5)="CASH_",IF(A108="CASH_EUR","",SUMIFS(ENTRIES!$K$2:$K$2000,ENTRIES!$C$2:$C$2000,A108)),IF(A108="MULTI_THB",SUMIFS(ENTRIES!$K$2:$K$2000,ENTRIES!$C$2:$C$2000,A108),""))</f>
        <v>0</v>
      </c>
      <c r="F108" s="3" t="str">
        <f aca="false">IF(C108="helper",IF(ABS(D108)&lt;0.005,"OK","CHECK"),"compare")</f>
        <v>compare</v>
      </c>
    </row>
    <row r="109" customFormat="false" ht="15" hidden="false" customHeight="false" outlineLevel="0" collapsed="false">
      <c r="A109" s="5" t="s">
        <v>176</v>
      </c>
      <c r="B109" s="3" t="s">
        <v>496</v>
      </c>
      <c r="C109" s="3" t="str">
        <f aca="false">INDEX(CODES!$G$5:$G$30,MATCH(A109,CODES!$F$5:$F$30,0))</f>
        <v>real</v>
      </c>
      <c r="D109" s="20" t="n">
        <f aca="false">ROUND(SUMIFS(ENTRIES!$E$2:$E$2000,ENTRIES!$C$2:$C$2000,A109),2)</f>
        <v>0</v>
      </c>
      <c r="E109" s="22" t="n">
        <f aca="false">IF(LEFT(A109,5)="CASH_",IF(A109="CASH_EUR","",SUMIFS(ENTRIES!$K$2:$K$2000,ENTRIES!$C$2:$C$2000,A109)),IF(A109="MULTI_THB",SUMIFS(ENTRIES!$K$2:$K$2000,ENTRIES!$C$2:$C$2000,A109),""))</f>
        <v>0</v>
      </c>
      <c r="F109" s="3" t="str">
        <f aca="false">IF(C109="helper",IF(ABS(D109)&lt;0.005,"OK","CHECK"),"compare")</f>
        <v>compare</v>
      </c>
    </row>
    <row r="110" customFormat="false" ht="15" hidden="false" customHeight="false" outlineLevel="0" collapsed="false">
      <c r="A110" s="5" t="s">
        <v>370</v>
      </c>
      <c r="B110" s="3" t="s">
        <v>497</v>
      </c>
      <c r="C110" s="3" t="str">
        <f aca="false">INDEX(CODES!$G$5:$G$30,MATCH(A110,CODES!$F$5:$F$30,0))</f>
        <v>real</v>
      </c>
      <c r="D110" s="20" t="n">
        <f aca="false">ROUND(SUMIFS(ENTRIES!$E$2:$E$2000,ENTRIES!$C$2:$C$2000,A110),2)</f>
        <v>138.2</v>
      </c>
      <c r="E110" s="22" t="str">
        <f aca="false">IF(LEFT(A110,5)="CASH_",IF(A110="CASH_EUR","",SUMIFS(ENTRIES!$K$2:$K$2000,ENTRIES!$C$2:$C$2000,A110)),IF(A110="MULTI_THB",SUMIFS(ENTRIES!$K$2:$K$2000,ENTRIES!$C$2:$C$2000,A110),""))</f>
        <v/>
      </c>
      <c r="F110" s="3" t="str">
        <f aca="false">IF(C110="helper",IF(ABS(D110)&lt;0.005,"OK","CHECK"),"compare")</f>
        <v>compare</v>
      </c>
    </row>
    <row r="111" customFormat="false" ht="15" hidden="false" customHeight="false" outlineLevel="0" collapsed="false">
      <c r="A111" s="5" t="s">
        <v>348</v>
      </c>
      <c r="B111" s="3" t="s">
        <v>498</v>
      </c>
      <c r="C111" s="3" t="str">
        <f aca="false">INDEX(CODES!$G$5:$G$30,MATCH(A111,CODES!$F$5:$F$30,0))</f>
        <v>helper</v>
      </c>
      <c r="D111" s="20" t="n">
        <f aca="false">ROUND(SUMIFS(ENTRIES!$E$2:$E$2000,ENTRIES!$C$2:$C$2000,A111),2)</f>
        <v>0</v>
      </c>
      <c r="E111" s="22" t="str">
        <f aca="false">IF(LEFT(A111,5)="CASH_",IF(A111="CASH_EUR","",SUMIFS(ENTRIES!$K$2:$K$2000,ENTRIES!$C$2:$C$2000,A111)),IF(A111="MULTI_THB",SUMIFS(ENTRIES!$K$2:$K$2000,ENTRIES!$C$2:$C$2000,A111),""))</f>
        <v/>
      </c>
      <c r="F111" s="3" t="str">
        <f aca="false">IF(C111="helper",IF(ABS(D111)&lt;0.005,"OK","CHECK"),"compare")</f>
        <v>OK</v>
      </c>
    </row>
    <row r="112" customFormat="false" ht="15" hidden="false" customHeight="false" outlineLevel="0" collapsed="false">
      <c r="A112" s="5" t="s">
        <v>383</v>
      </c>
      <c r="B112" s="3" t="s">
        <v>499</v>
      </c>
      <c r="C112" s="3" t="str">
        <f aca="false">INDEX(CODES!$G$5:$G$30,MATCH(A112,CODES!$F$5:$F$30,0))</f>
        <v>helper</v>
      </c>
      <c r="D112" s="20" t="n">
        <f aca="false">ROUND(SUMIFS(ENTRIES!$E$2:$E$2000,ENTRIES!$C$2:$C$2000,A112),2)</f>
        <v>0</v>
      </c>
      <c r="E112" s="22" t="str">
        <f aca="false">IF(LEFT(A112,5)="CASH_",IF(A112="CASH_EUR","",SUMIFS(ENTRIES!$K$2:$K$2000,ENTRIES!$C$2:$C$2000,A112)),IF(A112="MULTI_THB",SUMIFS(ENTRIES!$K$2:$K$2000,ENTRIES!$C$2:$C$2000,A112),""))</f>
        <v/>
      </c>
      <c r="F112" s="3" t="str">
        <f aca="false">IF(C112="helper",IF(ABS(D112)&lt;0.005,"OK","CHECK"),"compare")</f>
        <v>OK</v>
      </c>
    </row>
    <row r="113" customFormat="false" ht="15" hidden="false" customHeight="false" outlineLevel="0" collapsed="false">
      <c r="A113" s="5" t="s">
        <v>358</v>
      </c>
      <c r="B113" s="3" t="s">
        <v>500</v>
      </c>
      <c r="C113" s="3" t="str">
        <f aca="false">INDEX(CODES!$G$5:$G$30,MATCH(A113,CODES!$F$5:$F$30,0))</f>
        <v>helper</v>
      </c>
      <c r="D113" s="20" t="n">
        <f aca="false">ROUND(SUMIFS(ENTRIES!$E$2:$E$2000,ENTRIES!$C$2:$C$2000,A113),2)</f>
        <v>0</v>
      </c>
      <c r="E113" s="22" t="str">
        <f aca="false">IF(LEFT(A113,5)="CASH_",IF(A113="CASH_EUR","",SUMIFS(ENTRIES!$K$2:$K$2000,ENTRIES!$C$2:$C$2000,A113)),IF(A113="MULTI_THB",SUMIFS(ENTRIES!$K$2:$K$2000,ENTRIES!$C$2:$C$2000,A113),""))</f>
        <v/>
      </c>
      <c r="F113" s="3" t="str">
        <f aca="false">IF(C113="helper",IF(ABS(D113)&lt;0.005,"OK","CHECK"),"compare")</f>
        <v>OK</v>
      </c>
    </row>
    <row r="114" customFormat="false" ht="15" hidden="false" customHeight="false" outlineLevel="0" collapsed="false">
      <c r="A114" s="5" t="s">
        <v>344</v>
      </c>
      <c r="B114" s="3" t="s">
        <v>501</v>
      </c>
      <c r="C114" s="3" t="str">
        <f aca="false">INDEX(CODES!$G$5:$G$30,MATCH(A114,CODES!$F$5:$F$30,0))</f>
        <v>helper</v>
      </c>
      <c r="D114" s="20" t="n">
        <f aca="false">ROUND(SUMIFS(ENTRIES!$E$2:$E$2000,ENTRIES!$C$2:$C$2000,A114),2)</f>
        <v>0</v>
      </c>
      <c r="E114" s="22" t="str">
        <f aca="false">IF(LEFT(A114,5)="CASH_",IF(A114="CASH_EUR","",SUMIFS(ENTRIES!$K$2:$K$2000,ENTRIES!$C$2:$C$2000,A114)),IF(A114="MULTI_THB",SUMIFS(ENTRIES!$K$2:$K$2000,ENTRIES!$C$2:$C$2000,A114),""))</f>
        <v/>
      </c>
      <c r="F114" s="3" t="str">
        <f aca="false">IF(C114="helper",IF(ABS(D114)&lt;0.005,"OK","CHECK"),"compare")</f>
        <v>OK</v>
      </c>
    </row>
    <row r="115" customFormat="false" ht="15" hidden="false" customHeight="false" outlineLevel="0" collapsed="false">
      <c r="A115" s="5" t="s">
        <v>352</v>
      </c>
      <c r="B115" s="3" t="s">
        <v>502</v>
      </c>
      <c r="C115" s="3" t="str">
        <f aca="false">INDEX(CODES!$G$5:$G$30,MATCH(A115,CODES!$F$5:$F$30,0))</f>
        <v>helper</v>
      </c>
      <c r="D115" s="20" t="n">
        <f aca="false">ROUND(SUMIFS(ENTRIES!$E$2:$E$2000,ENTRIES!$C$2:$C$2000,A115),2)</f>
        <v>0</v>
      </c>
      <c r="E115" s="22" t="str">
        <f aca="false">IF(LEFT(A115,5)="CASH_",IF(A115="CASH_EUR","",SUMIFS(ENTRIES!$K$2:$K$2000,ENTRIES!$C$2:$C$2000,A115)),IF(A115="MULTI_THB",SUMIFS(ENTRIES!$K$2:$K$2000,ENTRIES!$C$2:$C$2000,A115),""))</f>
        <v/>
      </c>
      <c r="F115" s="3" t="str">
        <f aca="false">IF(C115="helper",IF(ABS(D115)&lt;0.005,"OK","CHECK"),"compare")</f>
        <v>OK</v>
      </c>
    </row>
    <row r="116" customFormat="false" ht="15" hidden="false" customHeight="false" outlineLevel="0" collapsed="false">
      <c r="A116" s="5" t="s">
        <v>389</v>
      </c>
      <c r="B116" s="3" t="s">
        <v>503</v>
      </c>
      <c r="C116" s="3" t="str">
        <f aca="false">INDEX(CODES!$G$5:$G$30,MATCH(A116,CODES!$F$5:$F$30,0))</f>
        <v>helper</v>
      </c>
      <c r="D116" s="20" t="n">
        <f aca="false">ROUND(SUMIFS(ENTRIES!$E$2:$E$2000,ENTRIES!$C$2:$C$2000,A116),2)</f>
        <v>0</v>
      </c>
      <c r="E116" s="22" t="str">
        <f aca="false">IF(LEFT(A116,5)="CASH_",IF(A116="CASH_EUR","",SUMIFS(ENTRIES!$K$2:$K$2000,ENTRIES!$C$2:$C$2000,A116)),IF(A116="MULTI_THB",SUMIFS(ENTRIES!$K$2:$K$2000,ENTRIES!$C$2:$C$2000,A116),""))</f>
        <v/>
      </c>
      <c r="F116" s="3" t="str">
        <f aca="false">IF(C116="helper",IF(ABS(D116)&lt;0.005,"OK","CHECK"),"compare")</f>
        <v>OK</v>
      </c>
    </row>
    <row r="117" customFormat="false" ht="15" hidden="false" customHeight="false" outlineLevel="0" collapsed="false">
      <c r="A117" s="5" t="s">
        <v>399</v>
      </c>
      <c r="B117" s="3" t="s">
        <v>504</v>
      </c>
      <c r="C117" s="3" t="str">
        <f aca="false">INDEX(CODES!$G$5:$G$30,MATCH(A117,CODES!$F$5:$F$30,0))</f>
        <v>helper</v>
      </c>
      <c r="D117" s="20" t="n">
        <f aca="false">ROUND(SUMIFS(ENTRIES!$E$2:$E$2000,ENTRIES!$C$2:$C$2000,A117),2)</f>
        <v>0</v>
      </c>
      <c r="E117" s="22" t="str">
        <f aca="false">IF(LEFT(A117,5)="CASH_",IF(A117="CASH_EUR","",SUMIFS(ENTRIES!$K$2:$K$2000,ENTRIES!$C$2:$C$2000,A117)),IF(A117="MULTI_THB",SUMIFS(ENTRIES!$K$2:$K$2000,ENTRIES!$C$2:$C$2000,A117),""))</f>
        <v/>
      </c>
      <c r="F117" s="3" t="str">
        <f aca="false">IF(C117="helper",IF(ABS(D117)&lt;0.005,"OK","CHECK"),"compare")</f>
        <v>OK</v>
      </c>
    </row>
    <row r="118" customFormat="false" ht="15" hidden="false" customHeight="false" outlineLevel="0" collapsed="false">
      <c r="A118" s="5" t="s">
        <v>392</v>
      </c>
      <c r="B118" s="3" t="s">
        <v>505</v>
      </c>
      <c r="C118" s="3" t="str">
        <f aca="false">INDEX(CODES!$G$5:$G$30,MATCH(A118,CODES!$F$5:$F$30,0))</f>
        <v>helper</v>
      </c>
      <c r="D118" s="20" t="n">
        <f aca="false">ROUND(SUMIFS(ENTRIES!$E$2:$E$2000,ENTRIES!$C$2:$C$2000,A118),2)</f>
        <v>0</v>
      </c>
      <c r="E118" s="22" t="str">
        <f aca="false">IF(LEFT(A118,5)="CASH_",IF(A118="CASH_EUR","",SUMIFS(ENTRIES!$K$2:$K$2000,ENTRIES!$C$2:$C$2000,A118)),IF(A118="MULTI_THB",SUMIFS(ENTRIES!$K$2:$K$2000,ENTRIES!$C$2:$C$2000,A118),""))</f>
        <v/>
      </c>
      <c r="F118" s="3" t="str">
        <f aca="false">IF(C118="helper",IF(ABS(D118)&lt;0.005,"OK","CHECK"),"compare")</f>
        <v>OK</v>
      </c>
    </row>
    <row r="119" customFormat="false" ht="15" hidden="false" customHeight="false" outlineLevel="0" collapsed="false">
      <c r="A119" s="5" t="s">
        <v>418</v>
      </c>
      <c r="B119" s="3" t="s">
        <v>506</v>
      </c>
      <c r="C119" s="3" t="str">
        <f aca="false">INDEX(CODES!$G$5:$G$30,MATCH(A119,CODES!$F$5:$F$30,0))</f>
        <v>helper</v>
      </c>
      <c r="D119" s="20" t="n">
        <f aca="false">ROUND(SUMIFS(ENTRIES!$E$2:$E$2000,ENTRIES!$C$2:$C$2000,A119),2)</f>
        <v>0</v>
      </c>
      <c r="E119" s="22" t="str">
        <f aca="false">IF(LEFT(A119,5)="CASH_",IF(A119="CASH_EUR","",SUMIFS(ENTRIES!$K$2:$K$2000,ENTRIES!$C$2:$C$2000,A119)),IF(A119="MULTI_THB",SUMIFS(ENTRIES!$K$2:$K$2000,ENTRIES!$C$2:$C$2000,A119),""))</f>
        <v/>
      </c>
      <c r="F119" s="3" t="str">
        <f aca="false">IF(C119="helper",IF(ABS(D119)&lt;0.005,"OK","CHECK"),"compare")</f>
        <v>OK</v>
      </c>
    </row>
    <row r="120" customFormat="false" ht="15" hidden="false" customHeight="false" outlineLevel="0" collapsed="false">
      <c r="A120" s="5" t="s">
        <v>422</v>
      </c>
      <c r="B120" s="3" t="s">
        <v>507</v>
      </c>
      <c r="C120" s="3" t="str">
        <f aca="false">INDEX(CODES!$G$5:$G$30,MATCH(A120,CODES!$F$5:$F$30,0))</f>
        <v>helper</v>
      </c>
      <c r="D120" s="20" t="n">
        <f aca="false">ROUND(SUMIFS(ENTRIES!$E$2:$E$2000,ENTRIES!$C$2:$C$2000,A120),2)</f>
        <v>0</v>
      </c>
      <c r="E120" s="22" t="str">
        <f aca="false">IF(LEFT(A120,5)="CASH_",IF(A120="CASH_EUR","",SUMIFS(ENTRIES!$K$2:$K$2000,ENTRIES!$C$2:$C$2000,A120)),IF(A120="MULTI_THB",SUMIFS(ENTRIES!$K$2:$K$2000,ENTRIES!$C$2:$C$2000,A120),""))</f>
        <v/>
      </c>
      <c r="F120" s="3" t="str">
        <f aca="false">IF(C120="helper",IF(ABS(D120)&lt;0.005,"OK","CHECK"),"compare")</f>
        <v>OK</v>
      </c>
    </row>
    <row r="121" customFormat="false" ht="15" hidden="false" customHeight="false" outlineLevel="0" collapsed="false">
      <c r="A121" s="5" t="s">
        <v>434</v>
      </c>
      <c r="B121" s="3" t="s">
        <v>508</v>
      </c>
      <c r="C121" s="3" t="str">
        <f aca="false">INDEX(CODES!$G$5:$G$30,MATCH(A121,CODES!$F$5:$F$30,0))</f>
        <v>helper</v>
      </c>
      <c r="D121" s="20" t="n">
        <f aca="false">ROUND(SUMIFS(ENTRIES!$E$2:$E$2000,ENTRIES!$C$2:$C$2000,A121),2)</f>
        <v>0</v>
      </c>
      <c r="E121" s="22" t="str">
        <f aca="false">IF(LEFT(A121,5)="CASH_",IF(A121="CASH_EUR","",SUMIFS(ENTRIES!$K$2:$K$2000,ENTRIES!$C$2:$C$2000,A121)),IF(A121="MULTI_THB",SUMIFS(ENTRIES!$K$2:$K$2000,ENTRIES!$C$2:$C$2000,A121),""))</f>
        <v/>
      </c>
      <c r="F121" s="3" t="str">
        <f aca="false">IF(C121="helper",IF(ABS(D121)&lt;0.005,"OK","CHECK"),"compare")</f>
        <v>OK</v>
      </c>
    </row>
    <row r="122" customFormat="false" ht="15" hidden="false" customHeight="false" outlineLevel="0" collapsed="false">
      <c r="A122" s="2"/>
      <c r="B122" s="13" t="s">
        <v>509</v>
      </c>
      <c r="C122" s="2"/>
      <c r="D122" s="2"/>
      <c r="E122" s="2"/>
      <c r="F122" s="2"/>
    </row>
  </sheetData>
  <conditionalFormatting sqref="D5:D11">
    <cfRule type="expression" priority="2" aboveAverage="0" equalAverage="0" bottom="0" percent="0" rank="0" text="" dxfId="8">
      <formula>D5="OK"</formula>
    </cfRule>
    <cfRule type="expression" priority="3" aboveAverage="0" equalAverage="0" bottom="0" percent="0" rank="0" text="" dxfId="7">
      <formula>AND(D5&lt;&gt;"OK",D5&lt;&gt;"")</formula>
    </cfRule>
  </conditionalFormatting>
  <conditionalFormatting sqref="F96:F121">
    <cfRule type="expression" priority="4" aboveAverage="0" equalAverage="0" bottom="0" percent="0" rank="0" text="" dxfId="7">
      <formula>F96="CHECK"</formula>
    </cfRule>
    <cfRule type="expression" priority="5" aboveAverage="0" equalAverage="0" bottom="0" percent="0" rank="0" text="" dxfId="8">
      <formula>F96="OK"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9" t="s">
        <v>510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3" t="s">
        <v>511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7" t="s">
        <v>512</v>
      </c>
      <c r="B4" s="7" t="s">
        <v>513</v>
      </c>
      <c r="C4" s="2"/>
      <c r="D4" s="2"/>
      <c r="E4" s="2"/>
      <c r="F4" s="2"/>
      <c r="G4" s="2"/>
    </row>
    <row r="5" customFormat="false" ht="15" hidden="false" customHeight="false" outlineLevel="0" collapsed="false">
      <c r="A5" s="3" t="s">
        <v>26</v>
      </c>
      <c r="B5" s="20" t="n">
        <f aca="false">SUMIFS(ENTRIES!$E$2:$E$2000,ENTRIES!$G$2:$G$2000,"OPENING_BALANCE")</f>
        <v>17201.24</v>
      </c>
      <c r="C5" s="2"/>
      <c r="D5" s="2"/>
      <c r="E5" s="2"/>
      <c r="F5" s="2"/>
      <c r="G5" s="2"/>
    </row>
    <row r="6" customFormat="false" ht="15" hidden="false" customHeight="false" outlineLevel="0" collapsed="false">
      <c r="A6" s="3" t="s">
        <v>514</v>
      </c>
      <c r="B6" s="20" t="n">
        <f aca="false">SUMIFS(ENTRIES!$E$2:$E$2000,ENTRIES!$G$2:$G$2000,"IN")</f>
        <v>6407.3</v>
      </c>
      <c r="C6" s="2"/>
      <c r="D6" s="2"/>
      <c r="E6" s="2"/>
      <c r="F6" s="2"/>
      <c r="G6" s="2"/>
    </row>
    <row r="7" customFormat="false" ht="15" hidden="false" customHeight="false" outlineLevel="0" collapsed="false">
      <c r="A7" s="3" t="s">
        <v>515</v>
      </c>
      <c r="B7" s="20" t="n">
        <f aca="false">SUMIFS(ENTRIES!$E$2:$E$2000,ENTRIES!$G$2:$G$2000,"OUT")</f>
        <v>-1059.25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3" t="s">
        <v>516</v>
      </c>
      <c r="B8" s="20" t="n">
        <f aca="false">SUMIFS(ENTRIES!$E$2:$E$2000,ENTRIES!$G$2:$G$2000,"OUT_FIXED")</f>
        <v>-985.66</v>
      </c>
      <c r="C8" s="2"/>
      <c r="D8" s="2"/>
      <c r="E8" s="2"/>
      <c r="F8" s="2"/>
      <c r="G8" s="2"/>
    </row>
    <row r="9" customFormat="false" ht="15" hidden="false" customHeight="false" outlineLevel="0" collapsed="false">
      <c r="A9" s="3" t="s">
        <v>517</v>
      </c>
      <c r="B9" s="20" t="n">
        <f aca="false">SUMIFS(ENTRIES!$E$2:$E$2000,ENTRIES!$G$2:$G$2000,"OUT_ASIA")+SUMIFS(ENTRIES!$E$2:$E$2000,ENTRIES!$G$2:$G$2000,"OUT_ASIA_FLIGHTS")+SUMIFS(ENTRIES!$E$2:$E$2000,ENTRIES!$G$2:$G$2000,"OUT_ASIA_INSURANCE")+SUMIFS(ENTRIES!$E$2:$E$2000,ENTRIES!$G$2:$G$2000,"OUT_ASIA_PREPAID")</f>
        <v>-3274.59</v>
      </c>
      <c r="C9" s="2"/>
      <c r="D9" s="2"/>
      <c r="E9" s="2"/>
      <c r="F9" s="2"/>
      <c r="G9" s="2"/>
    </row>
    <row r="10" customFormat="false" ht="15" hidden="false" customHeight="false" outlineLevel="0" collapsed="false">
      <c r="A10" s="3" t="s">
        <v>518</v>
      </c>
      <c r="B10" s="20" t="n">
        <f aca="false">SUMIFS(ENTRIES!$E$2:$E$2000,ENTRIES!$G$2:$G$2000,"PAPER_GAIN_LOSS")</f>
        <v>-11.8</v>
      </c>
      <c r="C10" s="2"/>
      <c r="D10" s="2"/>
      <c r="E10" s="2"/>
      <c r="F10" s="2"/>
      <c r="G10" s="2"/>
    </row>
    <row r="11" customFormat="false" ht="15" hidden="false" customHeight="false" outlineLevel="0" collapsed="false">
      <c r="A11" s="3" t="s">
        <v>519</v>
      </c>
      <c r="B11" s="20" t="n">
        <f aca="false">SUMIFS(ENTRIES!$E$2:$E$2000,ENTRIES!$G$2:$G$2000,"TRANSFER")</f>
        <v>0</v>
      </c>
      <c r="C11" s="2"/>
      <c r="D11" s="2"/>
      <c r="E11" s="2"/>
      <c r="F11" s="2"/>
      <c r="G11" s="2"/>
    </row>
    <row r="12" customFormat="false" ht="15" hidden="false" customHeight="false" outlineLevel="0" collapsed="false">
      <c r="A12" s="3" t="s">
        <v>520</v>
      </c>
      <c r="B12" s="20" t="n">
        <f aca="false">SUMIFS(ENTRIES!$E$2:$E$2000,ENTRIES!$G$2:$G$2000,"UNCATEGORISED")</f>
        <v>0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1" t="s">
        <v>521</v>
      </c>
      <c r="B13" s="23" t="n">
        <f aca="false">SUM(ENTRIES!$E$2:$E$2000)</f>
        <v>18277.24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3" t="s">
        <v>522</v>
      </c>
      <c r="B14" s="20" t="n">
        <f aca="false">SUM(B5:B12)</f>
        <v>18277.24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21" t="s">
        <v>523</v>
      </c>
      <c r="B15" s="23" t="n">
        <f aca="false">ROUND(B13-B14,2)</f>
        <v>0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" t="s">
        <v>524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7" t="s">
        <v>150</v>
      </c>
      <c r="B18" s="7" t="s">
        <v>525</v>
      </c>
      <c r="C18" s="7" t="s">
        <v>526</v>
      </c>
      <c r="D18" s="7" t="s">
        <v>527</v>
      </c>
      <c r="E18" s="7" t="s">
        <v>528</v>
      </c>
      <c r="F18" s="7" t="s">
        <v>529</v>
      </c>
      <c r="G18" s="7" t="s">
        <v>530</v>
      </c>
    </row>
    <row r="19" customFormat="false" ht="15" hidden="false" customHeight="false" outlineLevel="0" collapsed="false">
      <c r="A19" s="5" t="s">
        <v>469</v>
      </c>
      <c r="B19" s="20" t="n">
        <f aca="false">SUMIFS(ENTRIES!$E$2:$E$2000,ENTRIES!$O$2:$O$2000,A19,ENTRIES!$G$2:$G$2000,"IN")</f>
        <v>0</v>
      </c>
      <c r="C19" s="20" t="n">
        <f aca="false">SUMIFS(ENTRIES!$E$2:$E$2000,ENTRIES!$O$2:$O$2000,A19,ENTRIES!$G$2:$G$2000,"OUT")</f>
        <v>0</v>
      </c>
      <c r="D19" s="20" t="n">
        <f aca="false">SUMIFS(ENTRIES!$E$2:$E$2000,ENTRIES!$O$2:$O$2000,A19,ENTRIES!$G$2:$G$2000,"OUT_FIXED")</f>
        <v>0</v>
      </c>
      <c r="E19" s="20" t="n">
        <f aca="false">(SUMIFS(ENTRIES!$E$2:$E$2000,ENTRIES!$O$2:$O$2000,A19,ENTRIES!$G$2:$G$2000,"OUT_ASIA")+SUMIFS(ENTRIES!$E$2:$E$2000,ENTRIES!$O$2:$O$2000,A19,ENTRIES!$G$2:$G$2000,"OUT_ASIA_FLIGHTS")+SUMIFS(ENTRIES!$E$2:$E$2000,ENTRIES!$O$2:$O$2000,A19,ENTRIES!$G$2:$G$2000,"OUT_ASIA_INSURANCE")+SUMIFS(ENTRIES!$E$2:$E$2000,ENTRIES!$O$2:$O$2000,A19,ENTRIES!$G$2:$G$2000,"OUT_ASIA_PREPAID"))</f>
        <v>0</v>
      </c>
      <c r="F19" s="20" t="n">
        <f aca="false">SUM(C19:E19)</f>
        <v>0</v>
      </c>
      <c r="G19" s="20" t="n">
        <f aca="false">SUMIFS(ENTRIES!$E$2:$E$2000,ENTRIES!$O$2:$O$2000,A19,ENTRIES!$G$2:$G$2000,"TRANSFER")</f>
        <v>0</v>
      </c>
    </row>
    <row r="20" customFormat="false" ht="15" hidden="false" customHeight="false" outlineLevel="0" collapsed="false">
      <c r="A20" s="5" t="s">
        <v>470</v>
      </c>
      <c r="B20" s="20" t="n">
        <f aca="false">SUMIFS(ENTRIES!$E$2:$E$2000,ENTRIES!$O$2:$O$2000,A20,ENTRIES!$G$2:$G$2000,"IN")</f>
        <v>0</v>
      </c>
      <c r="C20" s="20" t="n">
        <f aca="false">SUMIFS(ENTRIES!$E$2:$E$2000,ENTRIES!$O$2:$O$2000,A20,ENTRIES!$G$2:$G$2000,"OUT")</f>
        <v>-18.9</v>
      </c>
      <c r="D20" s="20" t="n">
        <f aca="false">SUMIFS(ENTRIES!$E$2:$E$2000,ENTRIES!$O$2:$O$2000,A20,ENTRIES!$G$2:$G$2000,"OUT_FIXED")</f>
        <v>-112.77</v>
      </c>
      <c r="E20" s="20" t="n">
        <f aca="false">(SUMIFS(ENTRIES!$E$2:$E$2000,ENTRIES!$O$2:$O$2000,A20,ENTRIES!$G$2:$G$2000,"OUT_ASIA")+SUMIFS(ENTRIES!$E$2:$E$2000,ENTRIES!$O$2:$O$2000,A20,ENTRIES!$G$2:$G$2000,"OUT_ASIA_FLIGHTS")+SUMIFS(ENTRIES!$E$2:$E$2000,ENTRIES!$O$2:$O$2000,A20,ENTRIES!$G$2:$G$2000,"OUT_ASIA_INSURANCE")+SUMIFS(ENTRIES!$E$2:$E$2000,ENTRIES!$O$2:$O$2000,A20,ENTRIES!$G$2:$G$2000,"OUT_ASIA_PREPAID"))</f>
        <v>-1258.41</v>
      </c>
      <c r="F20" s="20" t="n">
        <f aca="false">SUM(C20:E20)</f>
        <v>-1390.08</v>
      </c>
      <c r="G20" s="20" t="n">
        <f aca="false">SUMIFS(ENTRIES!$E$2:$E$2000,ENTRIES!$O$2:$O$2000,A20,ENTRIES!$G$2:$G$2000,"TRANSFER")</f>
        <v>0</v>
      </c>
    </row>
    <row r="21" customFormat="false" ht="15" hidden="false" customHeight="false" outlineLevel="0" collapsed="false">
      <c r="A21" s="5" t="s">
        <v>471</v>
      </c>
      <c r="B21" s="20" t="n">
        <f aca="false">SUMIFS(ENTRIES!$E$2:$E$2000,ENTRIES!$O$2:$O$2000,A21,ENTRIES!$G$2:$G$2000,"IN")</f>
        <v>0</v>
      </c>
      <c r="C21" s="20" t="n">
        <f aca="false">SUMIFS(ENTRIES!$E$2:$E$2000,ENTRIES!$O$2:$O$2000,A21,ENTRIES!$G$2:$G$2000,"OUT")</f>
        <v>-0.45</v>
      </c>
      <c r="D21" s="20" t="n">
        <f aca="false">SUMIFS(ENTRIES!$E$2:$E$2000,ENTRIES!$O$2:$O$2000,A21,ENTRIES!$G$2:$G$2000,"OUT_FIXED")</f>
        <v>-112.77</v>
      </c>
      <c r="E21" s="20" t="n">
        <f aca="false">(SUMIFS(ENTRIES!$E$2:$E$2000,ENTRIES!$O$2:$O$2000,A21,ENTRIES!$G$2:$G$2000,"OUT_ASIA")+SUMIFS(ENTRIES!$E$2:$E$2000,ENTRIES!$O$2:$O$2000,A21,ENTRIES!$G$2:$G$2000,"OUT_ASIA_FLIGHTS")+SUMIFS(ENTRIES!$E$2:$E$2000,ENTRIES!$O$2:$O$2000,A21,ENTRIES!$G$2:$G$2000,"OUT_ASIA_INSURANCE")+SUMIFS(ENTRIES!$E$2:$E$2000,ENTRIES!$O$2:$O$2000,A21,ENTRIES!$G$2:$G$2000,"OUT_ASIA_PREPAID"))</f>
        <v>-381.69</v>
      </c>
      <c r="F21" s="20" t="n">
        <f aca="false">SUM(C21:E21)</f>
        <v>-494.91</v>
      </c>
      <c r="G21" s="20" t="n">
        <f aca="false">SUMIFS(ENTRIES!$E$2:$E$2000,ENTRIES!$O$2:$O$2000,A21,ENTRIES!$G$2:$G$2000,"TRANSFER")</f>
        <v>0</v>
      </c>
    </row>
    <row r="22" customFormat="false" ht="15" hidden="false" customHeight="false" outlineLevel="0" collapsed="false">
      <c r="A22" s="5" t="s">
        <v>472</v>
      </c>
      <c r="B22" s="20" t="n">
        <f aca="false">SUMIFS(ENTRIES!$E$2:$E$2000,ENTRIES!$O$2:$O$2000,A22,ENTRIES!$G$2:$G$2000,"IN")</f>
        <v>148.2</v>
      </c>
      <c r="C22" s="20" t="n">
        <f aca="false">SUMIFS(ENTRIES!$E$2:$E$2000,ENTRIES!$O$2:$O$2000,A22,ENTRIES!$G$2:$G$2000,"OUT")</f>
        <v>0</v>
      </c>
      <c r="D22" s="20" t="n">
        <f aca="false">SUMIFS(ENTRIES!$E$2:$E$2000,ENTRIES!$O$2:$O$2000,A22,ENTRIES!$G$2:$G$2000,"OUT_FIXED")</f>
        <v>-112.77</v>
      </c>
      <c r="E22" s="20" t="n">
        <f aca="false">(SUMIFS(ENTRIES!$E$2:$E$2000,ENTRIES!$O$2:$O$2000,A22,ENTRIES!$G$2:$G$2000,"OUT_ASIA")+SUMIFS(ENTRIES!$E$2:$E$2000,ENTRIES!$O$2:$O$2000,A22,ENTRIES!$G$2:$G$2000,"OUT_ASIA_FLIGHTS")+SUMIFS(ENTRIES!$E$2:$E$2000,ENTRIES!$O$2:$O$2000,A22,ENTRIES!$G$2:$G$2000,"OUT_ASIA_INSURANCE")+SUMIFS(ENTRIES!$E$2:$E$2000,ENTRIES!$O$2:$O$2000,A22,ENTRIES!$G$2:$G$2000,"OUT_ASIA_PREPAID"))</f>
        <v>-461.51</v>
      </c>
      <c r="F22" s="20" t="n">
        <f aca="false">SUM(C22:E22)</f>
        <v>-574.28</v>
      </c>
      <c r="G22" s="20" t="n">
        <f aca="false">SUMIFS(ENTRIES!$E$2:$E$2000,ENTRIES!$O$2:$O$2000,A22,ENTRIES!$G$2:$G$2000,"TRANSFER")</f>
        <v>-500</v>
      </c>
    </row>
    <row r="23" customFormat="false" ht="15" hidden="false" customHeight="false" outlineLevel="0" collapsed="false">
      <c r="A23" s="5" t="s">
        <v>473</v>
      </c>
      <c r="B23" s="20" t="n">
        <f aca="false">SUMIFS(ENTRIES!$E$2:$E$2000,ENTRIES!$O$2:$O$2000,A23,ENTRIES!$G$2:$G$2000,"IN")</f>
        <v>0</v>
      </c>
      <c r="C23" s="20" t="n">
        <f aca="false">SUMIFS(ENTRIES!$E$2:$E$2000,ENTRIES!$O$2:$O$2000,A23,ENTRIES!$G$2:$G$2000,"OUT")</f>
        <v>0</v>
      </c>
      <c r="D23" s="20" t="n">
        <f aca="false">SUMIFS(ENTRIES!$E$2:$E$2000,ENTRIES!$O$2:$O$2000,A23,ENTRIES!$G$2:$G$2000,"OUT_FIXED")</f>
        <v>-208.77</v>
      </c>
      <c r="E23" s="20" t="n">
        <f aca="false">(SUMIFS(ENTRIES!$E$2:$E$2000,ENTRIES!$O$2:$O$2000,A23,ENTRIES!$G$2:$G$2000,"OUT_ASIA")+SUMIFS(ENTRIES!$E$2:$E$2000,ENTRIES!$O$2:$O$2000,A23,ENTRIES!$G$2:$G$2000,"OUT_ASIA_FLIGHTS")+SUMIFS(ENTRIES!$E$2:$E$2000,ENTRIES!$O$2:$O$2000,A23,ENTRIES!$G$2:$G$2000,"OUT_ASIA_INSURANCE")+SUMIFS(ENTRIES!$E$2:$E$2000,ENTRIES!$O$2:$O$2000,A23,ENTRIES!$G$2:$G$2000,"OUT_ASIA_PREPAID"))</f>
        <v>-353.28</v>
      </c>
      <c r="F23" s="20" t="n">
        <f aca="false">SUM(C23:E23)</f>
        <v>-562.05</v>
      </c>
      <c r="G23" s="20" t="n">
        <f aca="false">SUMIFS(ENTRIES!$E$2:$E$2000,ENTRIES!$O$2:$O$2000,A23,ENTRIES!$G$2:$G$2000,"TRANSFER")</f>
        <v>500</v>
      </c>
    </row>
    <row r="24" customFormat="false" ht="15" hidden="false" customHeight="false" outlineLevel="0" collapsed="false">
      <c r="A24" s="5" t="s">
        <v>474</v>
      </c>
      <c r="B24" s="20" t="n">
        <f aca="false">SUMIFS(ENTRIES!$E$2:$E$2000,ENTRIES!$O$2:$O$2000,A24,ENTRIES!$G$2:$G$2000,"IN")</f>
        <v>412</v>
      </c>
      <c r="C24" s="20" t="n">
        <f aca="false">SUMIFS(ENTRIES!$E$2:$E$2000,ENTRIES!$O$2:$O$2000,A24,ENTRIES!$G$2:$G$2000,"OUT")</f>
        <v>0</v>
      </c>
      <c r="D24" s="20" t="n">
        <f aca="false">SUMIFS(ENTRIES!$E$2:$E$2000,ENTRIES!$O$2:$O$2000,A24,ENTRIES!$G$2:$G$2000,"OUT_FIXED")</f>
        <v>-112.77</v>
      </c>
      <c r="E24" s="20" t="n">
        <f aca="false">(SUMIFS(ENTRIES!$E$2:$E$2000,ENTRIES!$O$2:$O$2000,A24,ENTRIES!$G$2:$G$2000,"OUT_ASIA")+SUMIFS(ENTRIES!$E$2:$E$2000,ENTRIES!$O$2:$O$2000,A24,ENTRIES!$G$2:$G$2000,"OUT_ASIA_FLIGHTS")+SUMIFS(ENTRIES!$E$2:$E$2000,ENTRIES!$O$2:$O$2000,A24,ENTRIES!$G$2:$G$2000,"OUT_ASIA_INSURANCE")+SUMIFS(ENTRIES!$E$2:$E$2000,ENTRIES!$O$2:$O$2000,A24,ENTRIES!$G$2:$G$2000,"OUT_ASIA_PREPAID"))</f>
        <v>-404.6</v>
      </c>
      <c r="F24" s="20" t="n">
        <f aca="false">SUM(C24:E24)</f>
        <v>-517.37</v>
      </c>
      <c r="G24" s="20" t="n">
        <f aca="false">SUMIFS(ENTRIES!$E$2:$E$2000,ENTRIES!$O$2:$O$2000,A24,ENTRIES!$G$2:$G$2000,"TRANSFER")</f>
        <v>0</v>
      </c>
    </row>
    <row r="25" customFormat="false" ht="15" hidden="false" customHeight="false" outlineLevel="0" collapsed="false">
      <c r="A25" s="5" t="s">
        <v>475</v>
      </c>
      <c r="B25" s="20" t="n">
        <f aca="false">SUMIFS(ENTRIES!$E$2:$E$2000,ENTRIES!$O$2:$O$2000,A25,ENTRIES!$G$2:$G$2000,"IN")</f>
        <v>1487.1</v>
      </c>
      <c r="C25" s="20" t="n">
        <f aca="false">SUMIFS(ENTRIES!$E$2:$E$2000,ENTRIES!$O$2:$O$2000,A25,ENTRIES!$G$2:$G$2000,"OUT")</f>
        <v>-136.49</v>
      </c>
      <c r="D25" s="20" t="n">
        <f aca="false">SUMIFS(ENTRIES!$E$2:$E$2000,ENTRIES!$O$2:$O$2000,A25,ENTRIES!$G$2:$G$2000,"OUT_FIXED")</f>
        <v>-112.77</v>
      </c>
      <c r="E25" s="20" t="n">
        <f aca="false">(SUMIFS(ENTRIES!$E$2:$E$2000,ENTRIES!$O$2:$O$2000,A25,ENTRIES!$G$2:$G$2000,"OUT_ASIA")+SUMIFS(ENTRIES!$E$2:$E$2000,ENTRIES!$O$2:$O$2000,A25,ENTRIES!$G$2:$G$2000,"OUT_ASIA_FLIGHTS")+SUMIFS(ENTRIES!$E$2:$E$2000,ENTRIES!$O$2:$O$2000,A25,ENTRIES!$G$2:$G$2000,"OUT_ASIA_INSURANCE")+SUMIFS(ENTRIES!$E$2:$E$2000,ENTRIES!$O$2:$O$2000,A25,ENTRIES!$G$2:$G$2000,"OUT_ASIA_PREPAID"))</f>
        <v>-195.1</v>
      </c>
      <c r="F25" s="20" t="n">
        <f aca="false">SUM(C25:E25)</f>
        <v>-444.36</v>
      </c>
      <c r="G25" s="20" t="n">
        <f aca="false">SUMIFS(ENTRIES!$E$2:$E$2000,ENTRIES!$O$2:$O$2000,A25,ENTRIES!$G$2:$G$2000,"TRANSFER")</f>
        <v>0</v>
      </c>
    </row>
    <row r="26" customFormat="false" ht="15" hidden="false" customHeight="false" outlineLevel="0" collapsed="false">
      <c r="A26" s="5" t="s">
        <v>476</v>
      </c>
      <c r="B26" s="20" t="n">
        <f aca="false">SUMIFS(ENTRIES!$E$2:$E$2000,ENTRIES!$O$2:$O$2000,A26,ENTRIES!$G$2:$G$2000,"IN")</f>
        <v>2150</v>
      </c>
      <c r="C26" s="20" t="n">
        <f aca="false">SUMIFS(ENTRIES!$E$2:$E$2000,ENTRIES!$O$2:$O$2000,A26,ENTRIES!$G$2:$G$2000,"OUT")</f>
        <v>-636.69</v>
      </c>
      <c r="D26" s="20" t="n">
        <f aca="false">SUMIFS(ENTRIES!$E$2:$E$2000,ENTRIES!$O$2:$O$2000,A26,ENTRIES!$G$2:$G$2000,"OUT_FIXED")</f>
        <v>-100.27</v>
      </c>
      <c r="E26" s="20" t="n">
        <f aca="false">(SUMIFS(ENTRIES!$E$2:$E$2000,ENTRIES!$O$2:$O$2000,A26,ENTRIES!$G$2:$G$2000,"OUT_ASIA")+SUMIFS(ENTRIES!$E$2:$E$2000,ENTRIES!$O$2:$O$2000,A26,ENTRIES!$G$2:$G$2000,"OUT_ASIA_FLIGHTS")+SUMIFS(ENTRIES!$E$2:$E$2000,ENTRIES!$O$2:$O$2000,A26,ENTRIES!$G$2:$G$2000,"OUT_ASIA_INSURANCE")+SUMIFS(ENTRIES!$E$2:$E$2000,ENTRIES!$O$2:$O$2000,A26,ENTRIES!$G$2:$G$2000,"OUT_ASIA_PREPAID"))</f>
        <v>-220</v>
      </c>
      <c r="F26" s="20" t="n">
        <f aca="false">SUM(C26:E26)</f>
        <v>-956.96</v>
      </c>
      <c r="G26" s="20" t="n">
        <f aca="false">SUMIFS(ENTRIES!$E$2:$E$2000,ENTRIES!$O$2:$O$2000,A26,ENTRIES!$G$2:$G$2000,"TRANSFER")</f>
        <v>0</v>
      </c>
    </row>
    <row r="27" customFormat="false" ht="15" hidden="false" customHeight="false" outlineLevel="0" collapsed="false">
      <c r="A27" s="5" t="s">
        <v>477</v>
      </c>
      <c r="B27" s="20" t="n">
        <f aca="false">SUMIFS(ENTRIES!$E$2:$E$2000,ENTRIES!$O$2:$O$2000,A27,ENTRIES!$G$2:$G$2000,"IN")</f>
        <v>2210</v>
      </c>
      <c r="C27" s="20" t="n">
        <f aca="false">SUMIFS(ENTRIES!$E$2:$E$2000,ENTRIES!$O$2:$O$2000,A27,ENTRIES!$G$2:$G$2000,"OUT")</f>
        <v>-266.72</v>
      </c>
      <c r="D27" s="20" t="n">
        <f aca="false">SUMIFS(ENTRIES!$E$2:$E$2000,ENTRIES!$O$2:$O$2000,A27,ENTRIES!$G$2:$G$2000,"OUT_FIXED")</f>
        <v>-112.77</v>
      </c>
      <c r="E27" s="20" t="n">
        <f aca="false">(SUMIFS(ENTRIES!$E$2:$E$2000,ENTRIES!$O$2:$O$2000,A27,ENTRIES!$G$2:$G$2000,"OUT_ASIA")+SUMIFS(ENTRIES!$E$2:$E$2000,ENTRIES!$O$2:$O$2000,A27,ENTRIES!$G$2:$G$2000,"OUT_ASIA_FLIGHTS")+SUMIFS(ENTRIES!$E$2:$E$2000,ENTRIES!$O$2:$O$2000,A27,ENTRIES!$G$2:$G$2000,"OUT_ASIA_INSURANCE")+SUMIFS(ENTRIES!$E$2:$E$2000,ENTRIES!$O$2:$O$2000,A27,ENTRIES!$G$2:$G$2000,"OUT_ASIA_PREPAID"))</f>
        <v>0</v>
      </c>
      <c r="F27" s="20" t="n">
        <f aca="false">SUM(C27:E27)</f>
        <v>-379.49</v>
      </c>
      <c r="G27" s="20" t="n">
        <f aca="false">SUMIFS(ENTRIES!$E$2:$E$2000,ENTRIES!$O$2:$O$2000,A27,ENTRIES!$G$2:$G$2000,"TRANSFER")</f>
        <v>0</v>
      </c>
    </row>
    <row r="28" customFormat="false" ht="15" hidden="false" customHeight="false" outlineLevel="0" collapsed="false">
      <c r="A28" s="21" t="s">
        <v>531</v>
      </c>
      <c r="B28" s="23" t="n">
        <f aca="false">SUM(B19:B27)</f>
        <v>6407.3</v>
      </c>
      <c r="C28" s="23" t="n">
        <f aca="false">SUM(C19:C27)</f>
        <v>-1059.25</v>
      </c>
      <c r="D28" s="23" t="n">
        <f aca="false">SUM(D19:D27)</f>
        <v>-985.66</v>
      </c>
      <c r="E28" s="23" t="n">
        <f aca="false">SUM(E19:E27)</f>
        <v>-3274.59</v>
      </c>
      <c r="F28" s="23" t="n">
        <f aca="false">SUM(F19:F27)</f>
        <v>-5319.5</v>
      </c>
      <c r="G28" s="23" t="n">
        <f aca="false">SUM(G19:G27)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36"/>
    <col collapsed="false" customWidth="true" hidden="false" outlineLevel="0" max="9" min="9" style="0" width="3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9" t="s">
        <v>532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3" t="s">
        <v>533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7" t="s">
        <v>142</v>
      </c>
      <c r="B4" s="7" t="s">
        <v>534</v>
      </c>
      <c r="C4" s="2"/>
      <c r="D4" s="7" t="s">
        <v>143</v>
      </c>
      <c r="E4" s="2"/>
      <c r="F4" s="7" t="s">
        <v>138</v>
      </c>
      <c r="G4" s="7" t="s">
        <v>480</v>
      </c>
      <c r="H4" s="7" t="s">
        <v>479</v>
      </c>
      <c r="I4" s="2"/>
      <c r="J4" s="7" t="s">
        <v>145</v>
      </c>
      <c r="K4" s="7" t="s">
        <v>534</v>
      </c>
    </row>
    <row r="5" customFormat="false" ht="15" hidden="false" customHeight="false" outlineLevel="0" collapsed="false">
      <c r="A5" s="5" t="s">
        <v>265</v>
      </c>
      <c r="B5" s="3" t="s">
        <v>535</v>
      </c>
      <c r="C5" s="2"/>
      <c r="D5" s="5" t="s">
        <v>310</v>
      </c>
      <c r="E5" s="2"/>
      <c r="F5" s="5" t="s">
        <v>152</v>
      </c>
      <c r="G5" s="5" t="s">
        <v>536</v>
      </c>
      <c r="H5" s="3" t="s">
        <v>483</v>
      </c>
      <c r="I5" s="2"/>
      <c r="J5" s="5" t="s">
        <v>195</v>
      </c>
      <c r="K5" s="3" t="s">
        <v>537</v>
      </c>
    </row>
    <row r="6" customFormat="false" ht="15" hidden="false" customHeight="false" outlineLevel="0" collapsed="false">
      <c r="A6" s="5" t="s">
        <v>184</v>
      </c>
      <c r="B6" s="3" t="s">
        <v>538</v>
      </c>
      <c r="C6" s="2"/>
      <c r="D6" s="5" t="s">
        <v>293</v>
      </c>
      <c r="E6" s="2"/>
      <c r="F6" s="5" t="s">
        <v>157</v>
      </c>
      <c r="G6" s="5" t="s">
        <v>536</v>
      </c>
      <c r="H6" s="3" t="s">
        <v>484</v>
      </c>
      <c r="I6" s="2"/>
      <c r="J6" s="5" t="s">
        <v>209</v>
      </c>
      <c r="K6" s="3" t="s">
        <v>539</v>
      </c>
    </row>
    <row r="7" customFormat="false" ht="15" hidden="false" customHeight="false" outlineLevel="0" collapsed="false">
      <c r="A7" s="5" t="s">
        <v>163</v>
      </c>
      <c r="B7" s="3" t="s">
        <v>540</v>
      </c>
      <c r="C7" s="2"/>
      <c r="D7" s="5" t="s">
        <v>266</v>
      </c>
      <c r="E7" s="2"/>
      <c r="F7" s="5" t="s">
        <v>158</v>
      </c>
      <c r="G7" s="5" t="s">
        <v>536</v>
      </c>
      <c r="H7" s="3" t="s">
        <v>485</v>
      </c>
      <c r="I7" s="2"/>
      <c r="J7" s="5" t="s">
        <v>197</v>
      </c>
      <c r="K7" s="3" t="s">
        <v>541</v>
      </c>
    </row>
    <row r="8" customFormat="false" ht="15" hidden="false" customHeight="false" outlineLevel="0" collapsed="false">
      <c r="A8" s="5" t="s">
        <v>178</v>
      </c>
      <c r="B8" s="3" t="s">
        <v>542</v>
      </c>
      <c r="C8" s="2"/>
      <c r="D8" s="5" t="s">
        <v>543</v>
      </c>
      <c r="E8" s="2"/>
      <c r="F8" s="5" t="s">
        <v>171</v>
      </c>
      <c r="G8" s="5" t="s">
        <v>536</v>
      </c>
      <c r="H8" s="3" t="s">
        <v>486</v>
      </c>
      <c r="I8" s="2"/>
      <c r="J8" s="5" t="s">
        <v>199</v>
      </c>
      <c r="K8" s="3" t="s">
        <v>544</v>
      </c>
    </row>
    <row r="9" customFormat="false" ht="15" hidden="false" customHeight="false" outlineLevel="0" collapsed="false">
      <c r="A9" s="5" t="s">
        <v>326</v>
      </c>
      <c r="B9" s="3" t="s">
        <v>545</v>
      </c>
      <c r="C9" s="2"/>
      <c r="D9" s="5" t="s">
        <v>303</v>
      </c>
      <c r="E9" s="2"/>
      <c r="F9" s="5" t="s">
        <v>337</v>
      </c>
      <c r="G9" s="5" t="s">
        <v>536</v>
      </c>
      <c r="H9" s="3" t="s">
        <v>487</v>
      </c>
      <c r="I9" s="2"/>
      <c r="J9" s="5" t="s">
        <v>181</v>
      </c>
      <c r="K9" s="3" t="s">
        <v>546</v>
      </c>
    </row>
    <row r="10" customFormat="false" ht="15" hidden="false" customHeight="false" outlineLevel="0" collapsed="false">
      <c r="A10" s="5" t="s">
        <v>173</v>
      </c>
      <c r="B10" s="3" t="s">
        <v>547</v>
      </c>
      <c r="C10" s="2"/>
      <c r="D10" s="5" t="s">
        <v>306</v>
      </c>
      <c r="E10" s="2"/>
      <c r="F10" s="5" t="s">
        <v>213</v>
      </c>
      <c r="G10" s="5" t="s">
        <v>536</v>
      </c>
      <c r="H10" s="3" t="s">
        <v>488</v>
      </c>
      <c r="I10" s="2"/>
      <c r="J10" s="5" t="s">
        <v>231</v>
      </c>
      <c r="K10" s="3" t="s">
        <v>548</v>
      </c>
    </row>
    <row r="11" customFormat="false" ht="15" hidden="false" customHeight="false" outlineLevel="0" collapsed="false">
      <c r="A11" s="5" t="s">
        <v>275</v>
      </c>
      <c r="B11" s="3" t="s">
        <v>549</v>
      </c>
      <c r="C11" s="2"/>
      <c r="D11" s="5" t="s">
        <v>301</v>
      </c>
      <c r="E11" s="2"/>
      <c r="F11" s="5" t="s">
        <v>239</v>
      </c>
      <c r="G11" s="5" t="s">
        <v>536</v>
      </c>
      <c r="H11" s="3" t="s">
        <v>489</v>
      </c>
      <c r="I11" s="2"/>
      <c r="J11" s="5" t="s">
        <v>191</v>
      </c>
      <c r="K11" s="3" t="s">
        <v>550</v>
      </c>
    </row>
    <row r="12" customFormat="false" ht="15" hidden="false" customHeight="false" outlineLevel="0" collapsed="false">
      <c r="A12" s="5" t="s">
        <v>167</v>
      </c>
      <c r="B12" s="3" t="s">
        <v>551</v>
      </c>
      <c r="C12" s="2"/>
      <c r="D12" s="5" t="s">
        <v>354</v>
      </c>
      <c r="E12" s="2"/>
      <c r="F12" s="5" t="s">
        <v>330</v>
      </c>
      <c r="G12" s="5" t="s">
        <v>536</v>
      </c>
      <c r="H12" s="3" t="s">
        <v>490</v>
      </c>
      <c r="I12" s="2"/>
      <c r="J12" s="5" t="s">
        <v>229</v>
      </c>
      <c r="K12" s="3" t="s">
        <v>552</v>
      </c>
    </row>
    <row r="13" customFormat="false" ht="15" hidden="false" customHeight="false" outlineLevel="0" collapsed="false">
      <c r="A13" s="5" t="s">
        <v>154</v>
      </c>
      <c r="B13" s="3" t="s">
        <v>553</v>
      </c>
      <c r="C13" s="2"/>
      <c r="D13" s="5" t="s">
        <v>185</v>
      </c>
      <c r="E13" s="2"/>
      <c r="F13" s="5" t="s">
        <v>363</v>
      </c>
      <c r="G13" s="5" t="s">
        <v>536</v>
      </c>
      <c r="H13" s="3" t="s">
        <v>491</v>
      </c>
      <c r="I13" s="2"/>
      <c r="J13" s="5" t="s">
        <v>235</v>
      </c>
      <c r="K13" s="3" t="s">
        <v>554</v>
      </c>
    </row>
    <row r="14" customFormat="false" ht="15" hidden="false" customHeight="false" outlineLevel="0" collapsed="false">
      <c r="A14" s="5" t="s">
        <v>372</v>
      </c>
      <c r="B14" s="3" t="s">
        <v>555</v>
      </c>
      <c r="C14" s="2"/>
      <c r="D14" s="5" t="s">
        <v>556</v>
      </c>
      <c r="E14" s="2"/>
      <c r="F14" s="5" t="s">
        <v>159</v>
      </c>
      <c r="G14" s="5" t="s">
        <v>536</v>
      </c>
      <c r="H14" s="3" t="s">
        <v>492</v>
      </c>
      <c r="I14" s="2"/>
      <c r="J14" s="5" t="s">
        <v>557</v>
      </c>
      <c r="K14" s="3" t="s">
        <v>558</v>
      </c>
    </row>
    <row r="15" customFormat="false" ht="15" hidden="false" customHeight="false" outlineLevel="0" collapsed="false">
      <c r="A15" s="5" t="s">
        <v>559</v>
      </c>
      <c r="B15" s="3" t="s">
        <v>560</v>
      </c>
      <c r="C15" s="2"/>
      <c r="D15" s="5" t="s">
        <v>164</v>
      </c>
      <c r="E15" s="2"/>
      <c r="F15" s="5" t="s">
        <v>187</v>
      </c>
      <c r="G15" s="5" t="s">
        <v>536</v>
      </c>
      <c r="H15" s="3" t="s">
        <v>493</v>
      </c>
      <c r="I15" s="2"/>
      <c r="J15" s="5" t="s">
        <v>237</v>
      </c>
      <c r="K15" s="3" t="s">
        <v>561</v>
      </c>
    </row>
    <row r="16" customFormat="false" ht="15" hidden="false" customHeight="false" outlineLevel="0" collapsed="false">
      <c r="A16" s="2"/>
      <c r="B16" s="2"/>
      <c r="C16" s="2"/>
      <c r="D16" s="5" t="s">
        <v>189</v>
      </c>
      <c r="E16" s="2"/>
      <c r="F16" s="5" t="s">
        <v>259</v>
      </c>
      <c r="G16" s="5" t="s">
        <v>536</v>
      </c>
      <c r="H16" s="3" t="s">
        <v>494</v>
      </c>
      <c r="I16" s="2"/>
      <c r="J16" s="5" t="s">
        <v>252</v>
      </c>
      <c r="K16" s="3" t="s">
        <v>562</v>
      </c>
    </row>
    <row r="17" customFormat="false" ht="15" hidden="false" customHeight="false" outlineLevel="0" collapsed="false">
      <c r="A17" s="2"/>
      <c r="B17" s="2"/>
      <c r="C17" s="2"/>
      <c r="D17" s="5" t="s">
        <v>179</v>
      </c>
      <c r="E17" s="2"/>
      <c r="F17" s="5" t="s">
        <v>160</v>
      </c>
      <c r="G17" s="5" t="s">
        <v>536</v>
      </c>
      <c r="H17" s="3" t="s">
        <v>495</v>
      </c>
      <c r="I17" s="2"/>
      <c r="J17" s="5" t="s">
        <v>563</v>
      </c>
      <c r="K17" s="3" t="s">
        <v>564</v>
      </c>
    </row>
    <row r="18" customFormat="false" ht="15" hidden="false" customHeight="false" outlineLevel="0" collapsed="false">
      <c r="A18" s="2"/>
      <c r="B18" s="2"/>
      <c r="C18" s="2"/>
      <c r="D18" s="5" t="s">
        <v>327</v>
      </c>
      <c r="E18" s="2"/>
      <c r="F18" s="5" t="s">
        <v>176</v>
      </c>
      <c r="G18" s="5" t="s">
        <v>536</v>
      </c>
      <c r="H18" s="3" t="s">
        <v>496</v>
      </c>
      <c r="I18" s="2"/>
      <c r="J18" s="5" t="s">
        <v>242</v>
      </c>
      <c r="K18" s="3" t="s">
        <v>565</v>
      </c>
    </row>
    <row r="19" customFormat="false" ht="15" hidden="false" customHeight="false" outlineLevel="0" collapsed="false">
      <c r="A19" s="2"/>
      <c r="B19" s="2"/>
      <c r="C19" s="2"/>
      <c r="D19" s="5" t="s">
        <v>174</v>
      </c>
      <c r="E19" s="2"/>
      <c r="F19" s="5" t="s">
        <v>370</v>
      </c>
      <c r="G19" s="5" t="s">
        <v>536</v>
      </c>
      <c r="H19" s="3" t="s">
        <v>497</v>
      </c>
      <c r="I19" s="2"/>
      <c r="J19" s="5" t="s">
        <v>276</v>
      </c>
      <c r="K19" s="3" t="s">
        <v>566</v>
      </c>
    </row>
    <row r="20" customFormat="false" ht="15" hidden="false" customHeight="false" outlineLevel="0" collapsed="false">
      <c r="A20" s="2"/>
      <c r="B20" s="2"/>
      <c r="C20" s="2"/>
      <c r="D20" s="5" t="s">
        <v>365</v>
      </c>
      <c r="E20" s="2"/>
      <c r="F20" s="5" t="s">
        <v>348</v>
      </c>
      <c r="G20" s="5" t="s">
        <v>567</v>
      </c>
      <c r="H20" s="3" t="s">
        <v>498</v>
      </c>
      <c r="I20" s="2"/>
      <c r="J20" s="5" t="s">
        <v>206</v>
      </c>
      <c r="K20" s="3" t="s">
        <v>568</v>
      </c>
    </row>
    <row r="21" customFormat="false" ht="15" hidden="false" customHeight="false" outlineLevel="0" collapsed="false">
      <c r="A21" s="2"/>
      <c r="B21" s="2"/>
      <c r="C21" s="2"/>
      <c r="D21" s="5" t="s">
        <v>167</v>
      </c>
      <c r="E21" s="2"/>
      <c r="F21" s="5" t="s">
        <v>383</v>
      </c>
      <c r="G21" s="5" t="s">
        <v>567</v>
      </c>
      <c r="H21" s="3" t="s">
        <v>499</v>
      </c>
      <c r="I21" s="2"/>
      <c r="J21" s="5" t="s">
        <v>430</v>
      </c>
      <c r="K21" s="3" t="s">
        <v>125</v>
      </c>
    </row>
    <row r="22" customFormat="false" ht="15" hidden="false" customHeight="false" outlineLevel="0" collapsed="false">
      <c r="A22" s="2"/>
      <c r="B22" s="2"/>
      <c r="C22" s="2"/>
      <c r="D22" s="5" t="s">
        <v>154</v>
      </c>
      <c r="E22" s="2"/>
      <c r="F22" s="5" t="s">
        <v>358</v>
      </c>
      <c r="G22" s="5" t="s">
        <v>567</v>
      </c>
      <c r="H22" s="3" t="s">
        <v>500</v>
      </c>
      <c r="I22" s="2"/>
      <c r="J22" s="5" t="s">
        <v>203</v>
      </c>
      <c r="K22" s="3" t="s">
        <v>569</v>
      </c>
    </row>
    <row r="23" customFormat="false" ht="15" hidden="false" customHeight="false" outlineLevel="0" collapsed="false">
      <c r="A23" s="2"/>
      <c r="B23" s="2"/>
      <c r="C23" s="2"/>
      <c r="D23" s="5" t="s">
        <v>372</v>
      </c>
      <c r="E23" s="2"/>
      <c r="F23" s="5" t="s">
        <v>344</v>
      </c>
      <c r="G23" s="5" t="s">
        <v>567</v>
      </c>
      <c r="H23" s="3" t="s">
        <v>501</v>
      </c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5" t="s">
        <v>352</v>
      </c>
      <c r="G24" s="5" t="s">
        <v>567</v>
      </c>
      <c r="H24" s="3" t="s">
        <v>502</v>
      </c>
      <c r="I24" s="2"/>
      <c r="J24" s="2"/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5" t="s">
        <v>389</v>
      </c>
      <c r="G25" s="5" t="s">
        <v>567</v>
      </c>
      <c r="H25" s="3" t="s">
        <v>503</v>
      </c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5" t="s">
        <v>399</v>
      </c>
      <c r="G26" s="5" t="s">
        <v>567</v>
      </c>
      <c r="H26" s="3" t="s">
        <v>504</v>
      </c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5" t="s">
        <v>392</v>
      </c>
      <c r="G27" s="5" t="s">
        <v>567</v>
      </c>
      <c r="H27" s="3" t="s">
        <v>505</v>
      </c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5" t="s">
        <v>418</v>
      </c>
      <c r="G28" s="5" t="s">
        <v>567</v>
      </c>
      <c r="H28" s="3" t="s">
        <v>506</v>
      </c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5" t="s">
        <v>422</v>
      </c>
      <c r="G29" s="5" t="s">
        <v>567</v>
      </c>
      <c r="H29" s="3" t="s">
        <v>507</v>
      </c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5" t="s">
        <v>434</v>
      </c>
      <c r="G30" s="5" t="s">
        <v>567</v>
      </c>
      <c r="H30" s="3" t="s">
        <v>508</v>
      </c>
      <c r="I30" s="2"/>
      <c r="J30" s="2"/>
      <c r="K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8"/>
  </cols>
  <sheetData>
    <row r="1" customFormat="false" ht="15" hidden="false" customHeight="false" outlineLevel="0" collapsed="false">
      <c r="A1" s="24" t="s">
        <v>570</v>
      </c>
      <c r="B1" s="24" t="s">
        <v>571</v>
      </c>
      <c r="C1" s="24" t="s">
        <v>572</v>
      </c>
      <c r="D1" s="24" t="s">
        <v>573</v>
      </c>
      <c r="E1" s="24" t="s">
        <v>574</v>
      </c>
    </row>
    <row r="2" customFormat="false" ht="15" hidden="false" customHeight="false" outlineLevel="0" collapsed="false">
      <c r="A2" s="5" t="s">
        <v>575</v>
      </c>
      <c r="B2" s="5" t="s">
        <v>576</v>
      </c>
      <c r="C2" s="25" t="b">
        <f aca="false">FALSE()</f>
        <v>0</v>
      </c>
      <c r="D2" s="14" t="n">
        <v>45931</v>
      </c>
      <c r="E2" s="3" t="n">
        <f aca="false">D3-D2</f>
        <v>34</v>
      </c>
    </row>
    <row r="3" customFormat="false" ht="15" hidden="false" customHeight="false" outlineLevel="0" collapsed="false">
      <c r="A3" s="5" t="s">
        <v>577</v>
      </c>
      <c r="B3" s="5" t="s">
        <v>578</v>
      </c>
      <c r="C3" s="25" t="b">
        <f aca="false">FALSE()</f>
        <v>0</v>
      </c>
      <c r="D3" s="14" t="n">
        <v>45965</v>
      </c>
      <c r="E3" s="3" t="n">
        <f aca="false">D4-D3</f>
        <v>1</v>
      </c>
    </row>
    <row r="4" customFormat="false" ht="15" hidden="false" customHeight="false" outlineLevel="0" collapsed="false">
      <c r="A4" s="5" t="s">
        <v>579</v>
      </c>
      <c r="B4" s="5" t="s">
        <v>580</v>
      </c>
      <c r="C4" s="25" t="b">
        <f aca="false">FALSE()</f>
        <v>0</v>
      </c>
      <c r="D4" s="14" t="n">
        <v>45966</v>
      </c>
      <c r="E4" s="3" t="n">
        <f aca="false">D5-D4</f>
        <v>26</v>
      </c>
    </row>
    <row r="5" customFormat="false" ht="15" hidden="false" customHeight="false" outlineLevel="0" collapsed="false">
      <c r="A5" s="5" t="s">
        <v>581</v>
      </c>
      <c r="B5" s="5" t="s">
        <v>580</v>
      </c>
      <c r="C5" s="25" t="b">
        <f aca="false">FALSE()</f>
        <v>0</v>
      </c>
      <c r="D5" s="14" t="n">
        <v>45992</v>
      </c>
      <c r="E5" s="3" t="n">
        <f aca="false">D6-D5</f>
        <v>31</v>
      </c>
    </row>
    <row r="6" customFormat="false" ht="15" hidden="false" customHeight="false" outlineLevel="0" collapsed="false">
      <c r="A6" s="5" t="s">
        <v>582</v>
      </c>
      <c r="B6" s="5" t="s">
        <v>583</v>
      </c>
      <c r="C6" s="25" t="b">
        <f aca="false">FALSE()</f>
        <v>0</v>
      </c>
      <c r="D6" s="14" t="n">
        <v>46023</v>
      </c>
      <c r="E6" s="3" t="n">
        <f aca="false">D7-D6</f>
        <v>109</v>
      </c>
    </row>
    <row r="7" customFormat="false" ht="15" hidden="false" customHeight="false" outlineLevel="0" collapsed="false">
      <c r="A7" s="5" t="s">
        <v>575</v>
      </c>
      <c r="B7" s="5" t="s">
        <v>576</v>
      </c>
      <c r="C7" s="25" t="b">
        <f aca="false">FALSE()</f>
        <v>0</v>
      </c>
      <c r="D7" s="14" t="n">
        <v>46132</v>
      </c>
      <c r="E7" s="3" t="n">
        <f aca="false">D8-D7</f>
        <v>11</v>
      </c>
    </row>
    <row r="8" customFormat="false" ht="15" hidden="false" customHeight="false" outlineLevel="0" collapsed="false">
      <c r="A8" s="5" t="s">
        <v>584</v>
      </c>
      <c r="B8" s="5" t="s">
        <v>576</v>
      </c>
      <c r="C8" s="25" t="b">
        <f aca="false">TRUE()</f>
        <v>1</v>
      </c>
      <c r="D8" s="14" t="n">
        <v>46143</v>
      </c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13" t="s">
        <v>585</v>
      </c>
      <c r="B10" s="2"/>
      <c r="C10" s="2"/>
      <c r="D10" s="2"/>
      <c r="E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2026-10-29T00:36:19Z</dcterms:created>
  <dc:creator>openpyxl</dc:creator>
  <dc:description/>
  <dc:language>en-US</dc:language>
  <cp:lastModifiedBy/>
  <dcterms:modified xsi:type="dcterms:W3CDTF">2026-10-29T00:36:19Z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