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cxsm\rcsmit.github.io\hs_drills\"/>
    </mc:Choice>
  </mc:AlternateContent>
  <xr:revisionPtr revIDLastSave="0" documentId="13_ncr:1_{5509442B-8C76-4A1E-80DA-525F17094B0B}" xr6:coauthVersionLast="47" xr6:coauthVersionMax="47" xr10:uidLastSave="{00000000-0000-0000-0000-000000000000}"/>
  <bookViews>
    <workbookView xWindow="-120" yWindow="-120" windowWidth="20730" windowHeight="11040" xr2:uid="{00000000-000D-0000-FFFF-FFFF00000000}"/>
  </bookViews>
  <sheets>
    <sheet name="By Category"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2" l="1"/>
  <c r="D52" i="2"/>
  <c r="D51" i="2"/>
  <c r="D43" i="2"/>
  <c r="D42" i="2"/>
  <c r="D41" i="2"/>
  <c r="D14" i="2"/>
  <c r="D13" i="2"/>
  <c r="D12" i="2"/>
  <c r="D11" i="2"/>
  <c r="D10" i="2"/>
  <c r="D9" i="2"/>
  <c r="D8"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09" i="2"/>
  <c r="D108" i="2"/>
  <c r="D107" i="2"/>
  <c r="D106" i="2"/>
  <c r="D105" i="2"/>
  <c r="D104" i="2"/>
  <c r="D103" i="2"/>
  <c r="D102" i="2"/>
  <c r="D101" i="2"/>
  <c r="D100" i="2"/>
  <c r="D99"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0" i="2"/>
  <c r="D49" i="2"/>
  <c r="D48" i="2"/>
  <c r="D47" i="2"/>
  <c r="D46" i="2"/>
  <c r="D45" i="2"/>
  <c r="D37" i="2"/>
  <c r="D36" i="2"/>
  <c r="D35" i="2"/>
  <c r="D34" i="2"/>
  <c r="D33" i="2"/>
  <c r="D32" i="2"/>
  <c r="D31" i="2"/>
  <c r="D30" i="2"/>
  <c r="D29" i="2"/>
  <c r="D28" i="2"/>
  <c r="D27" i="2"/>
  <c r="D26" i="2"/>
  <c r="D25" i="2"/>
  <c r="D24" i="2"/>
  <c r="D23" i="2"/>
  <c r="D22" i="2"/>
  <c r="D21" i="2"/>
  <c r="D20" i="2"/>
  <c r="D19" i="2"/>
  <c r="D18" i="2"/>
  <c r="D17" i="2"/>
  <c r="D16" i="2"/>
  <c r="D15" i="2"/>
  <c r="D2" i="2"/>
  <c r="D3" i="2"/>
  <c r="D4" i="2"/>
  <c r="D6" i="2"/>
  <c r="D7" i="2"/>
  <c r="D5" i="2"/>
</calcChain>
</file>

<file path=xl/sharedStrings.xml><?xml version="1.0" encoding="utf-8"?>
<sst xmlns="http://schemas.openxmlformats.org/spreadsheetml/2006/main" count="1227" uniqueCount="661">
  <si>
    <t>Hollow body floor hold</t>
  </si>
  <si>
    <t>4 × 20–30 sec</t>
  </si>
  <si>
    <t>Beginner</t>
  </si>
  <si>
    <t>Lower back pressed flat, arms by ears, chin neutral. The core shape of every handstand.</t>
  </si>
  <si>
    <t>Hollow body rocks</t>
  </si>
  <si>
    <t>3 × 10 rocks</t>
  </si>
  <si>
    <t>Rock front to back WITHOUT losing hollow shape. Trains active core under movement.</t>
  </si>
  <si>
    <t>Hollow body breathing</t>
  </si>
  <si>
    <t>3 × 30 sec</t>
  </si>
  <si>
    <t>Hold hollow and breathe normally. Trains maintaining shape while breathing in HS.</t>
  </si>
  <si>
    <t>Hollow body with band</t>
  </si>
  <si>
    <t>3 × 20 sec</t>
  </si>
  <si>
    <t>Band around ankles adds tactile feedback — feel the shape more clearly.</t>
  </si>
  <si>
    <t>Hollow body on stability ball</t>
  </si>
  <si>
    <t>Intermediate</t>
  </si>
  <si>
    <t>Harder to maintain — ball adds instability and requires more precise core tension.</t>
  </si>
  <si>
    <t>Arch-to-hollow switch on floor</t>
  </si>
  <si>
    <t>3 × 10 reps</t>
  </si>
  <si>
    <t>Controlled oscillation between arch and hollow. Builds body shape awareness.</t>
  </si>
  <si>
    <t>Straight-arm plank hold</t>
  </si>
  <si>
    <t>4 × 30 sec</t>
  </si>
  <si>
    <t>Straight arms, shoulders elevated (scapular protraction). Directly trains HS shoulder position.</t>
  </si>
  <si>
    <t>RTO plank (rings turned out)</t>
  </si>
  <si>
    <t>Rings turned out in plank. Requires and builds rotator cuff stability.</t>
  </si>
  <si>
    <t>Plank shoulder shrugs</t>
  </si>
  <si>
    <t>In plank: protract and retract scapula. Isolates scapular control — essential for active HS.</t>
  </si>
  <si>
    <t>Pike hold on floor</t>
  </si>
  <si>
    <t>Hamstring + hip flexor prep. Straight legs, fold as deep as possible.</t>
  </si>
  <si>
    <t>L-sit hold</t>
  </si>
  <si>
    <t>4 × 10–20 sec</t>
  </si>
  <si>
    <t>On parallettes or floor. Builds compression strength needed for press handstand.</t>
  </si>
  <si>
    <t>Wrist circles</t>
  </si>
  <si>
    <t>2 × 10 each direction</t>
  </si>
  <si>
    <t>Forward + backward. Never skip — wrists are the most loaded joint in HS.</t>
  </si>
  <si>
    <t>Wrist flexion/extension stretch</t>
  </si>
  <si>
    <t>2 × 30 sec</t>
  </si>
  <si>
    <t>On floor, fingers forward then backward. Full range of motion each direction.</t>
  </si>
  <si>
    <t>Prayer stretch</t>
  </si>
  <si>
    <t>Palms together, push down. Wrist flexor stretch.</t>
  </si>
  <si>
    <t>Reverse prayer stretch</t>
  </si>
  <si>
    <t>Backs of hands together, push up. Wrist extensor stretch.</t>
  </si>
  <si>
    <t>Wrist weight shifts on all fours</t>
  </si>
  <si>
    <t>2 × 10 reps</t>
  </si>
  <si>
    <t>Shift weight forward over knuckles then to fingertips. Wrist loading under movement.</t>
  </si>
  <si>
    <t>Fingertip push-ups on wall</t>
  </si>
  <si>
    <t>3 × 8 reps</t>
  </si>
  <si>
    <t>Stand 30cm from wall, push away using only fingers. Builds fingertip pressing strength.</t>
  </si>
  <si>
    <t>Bear crawl forward/backward</t>
  </si>
  <si>
    <t>2 × 10m</t>
  </si>
  <si>
    <t>Loaded wrist mobility under movement. Forward and backward — don't skip backward.</t>
  </si>
  <si>
    <t>Knuckle push-ups</t>
  </si>
  <si>
    <t>Wrist strengthening. Neutral wrist position — useful for anyone with wrist pain.</t>
  </si>
  <si>
    <t>Wall shoulder opener</t>
  </si>
  <si>
    <t>Arms overhead on wall, let chest drop toward floor. Opens thoracic and shoulder flexion.</t>
  </si>
  <si>
    <t>Doorway pec stretch</t>
  </si>
  <si>
    <t>2 × 30 sec each</t>
  </si>
  <si>
    <t>Arm at 90°, chest open through doorway. Anterior shoulder mobility.</t>
  </si>
  <si>
    <t>Overhead shoulder shrugs</t>
  </si>
  <si>
    <t>Arms overhead, elevate and depress scapula. Isolates the exact HS shoulder action.</t>
  </si>
  <si>
    <t>Wall slides</t>
  </si>
  <si>
    <t>Forearms on wall, slide up. Scapular upward rotation — critical for overhead stability.</t>
  </si>
  <si>
    <t>Pike push-ups</t>
  </si>
  <si>
    <t>Shoulder pressing strength with bodyweight. Direct HS press preparation.</t>
  </si>
  <si>
    <t>Cuban press</t>
  </si>
  <si>
    <t>External rotation strength — important injury prevention for overhead training.</t>
  </si>
  <si>
    <t>Bottom-up KB press</t>
  </si>
  <si>
    <t>3 × 5 each</t>
  </si>
  <si>
    <t>KB upside down, extremely unstable. Forces wrist and shoulder stability simultaneously.</t>
  </si>
  <si>
    <t>Bottom-up KB hold overhead</t>
  </si>
  <si>
    <t>Just hold the inverted KB overhead. Shoulder micro-stability endurance.</t>
  </si>
  <si>
    <t>Banded overhead distraction</t>
  </si>
  <si>
    <t>Band around wrist overhead, let it pull. Opens shoulder capsule.</t>
  </si>
  <si>
    <t>Wall HS hold — chest to wall</t>
  </si>
  <si>
    <t>5 × 45 sec</t>
  </si>
  <si>
    <t>Hips above shoulders, ribs in, no arch. Focus on stacking: wrists → elbows → shoulders → hips → heels.</t>
  </si>
  <si>
    <t>Wall HS hold — back to wall</t>
  </si>
  <si>
    <t>Easier entry, good for beginners finding the vertical feeling. Check arch tendency.</t>
  </si>
  <si>
    <t>Wall HS kick-up consistency</t>
  </si>
  <si>
    <t>15 reps</t>
  </si>
  <si>
    <t>Same leg every rep. Aim for same height, same position. Build muscle memory.</t>
  </si>
  <si>
    <t>Wall HS shoulder shrugs</t>
  </si>
  <si>
    <t>In wall HS, actively push floor and release 10 times. Serratus and shoulder endurance.</t>
  </si>
  <si>
    <t>Wall HS rib check</t>
  </si>
  <si>
    <t>In hold, pull ribs in then release. Feel the difference — ribs IN is correct.</t>
  </si>
  <si>
    <t>Fingertip pressure in wall HS</t>
  </si>
  <si>
    <t>4 × 20 sec</t>
  </si>
  <si>
    <t>While holding, shift weight to fingertips and back repeatedly. Trains balance reflex.</t>
  </si>
  <si>
    <t>Toes-only wall touch</t>
  </si>
  <si>
    <t>5 × 30 sec</t>
  </si>
  <si>
    <t>Back to wall, only toes contact. Shift weight to hands. Goal: toes barely touching.</t>
  </si>
  <si>
    <t>One big toe touch</t>
  </si>
  <si>
    <t>5 × 20 sec</t>
  </si>
  <si>
    <t>Progress from toes-only — only one big toe on wall, other foot free.</t>
  </si>
  <si>
    <t>Alternating toe taps</t>
  </si>
  <si>
    <t>In wall HS, tap one foot off and on the wall repeatedly. Builds single-leg stability.</t>
  </si>
  <si>
    <t>Heel drag down the wall</t>
  </si>
  <si>
    <t>5 reps</t>
  </si>
  <si>
    <t>Slowly lower heels down wall while maintaining body shape. Eccentric control.</t>
  </si>
  <si>
    <t>Pirouette step off wall</t>
  </si>
  <si>
    <t>5 reps each way</t>
  </si>
  <si>
    <t>Advanced</t>
  </si>
  <si>
    <t>In wall HS, turn 90° away from wall in controlled small steps. HS pirouette prep.</t>
  </si>
  <si>
    <t>Walk hands away from wall</t>
  </si>
  <si>
    <t>5 × 10 sec</t>
  </si>
  <si>
    <t>In wall HS, walk hands 5–10 cm away. Harder balance point — real freestanding prep.</t>
  </si>
  <si>
    <t>Wall HS with weight vest</t>
  </si>
  <si>
    <t>Add load for shoulder endurance. Only after base endurance is solid.</t>
  </si>
  <si>
    <t>Wall HS with band at hips</t>
  </si>
  <si>
    <t>Band pulls you away from wall, you resist. Trains active balance in wall HS.</t>
  </si>
  <si>
    <t>Wall HS negatives</t>
  </si>
  <si>
    <t>Kick up, hold, then slowly lower one leg at a time. Eccentric shoulder strength.</t>
  </si>
  <si>
    <t>Handstand push-ups on wall</t>
  </si>
  <si>
    <t>3 × 5 reps</t>
  </si>
  <si>
    <t>Full ROM HS push-up against wall. Shoulder strength for press HS.</t>
  </si>
  <si>
    <t>Deficit HS push-ups</t>
  </si>
  <si>
    <t>Hands on parallettes or plates — deeper ROM. Advanced shoulder strength.</t>
  </si>
  <si>
    <t>Narrow grip wall HS hold</t>
  </si>
  <si>
    <t>Hands closer together — harder stability challenge for wrists and shoulders.</t>
  </si>
  <si>
    <t>Wide grip wall HS hold</t>
  </si>
  <si>
    <t>Hands wider — different muscle recruitment, more shoulder width stability.</t>
  </si>
  <si>
    <t>Fingertip rescue drill</t>
  </si>
  <si>
    <t>10 reps</t>
  </si>
  <si>
    <t>When you feel yourself tipping forward: press ALL fingertips into floor. Practice intentionally.</t>
  </si>
  <si>
    <t>Controlled over-balance drill</t>
  </si>
  <si>
    <t>Kick up, let yourself tip slightly forward, then rescue with fingertips. Active balance reflex.</t>
  </si>
  <si>
    <t>Tipping point holds</t>
  </si>
  <si>
    <t>Find the very edge of balance forward and back intentionally. Learn your balance window.</t>
  </si>
  <si>
    <t>One-finger lift drill</t>
  </si>
  <si>
    <t>3 × 10 sec</t>
  </si>
  <si>
    <t>In wall HS, lift one finger at a time. Isolates each digit's role in balancing.</t>
  </si>
  <si>
    <t>Finger spread awareness drill</t>
  </si>
  <si>
    <t>In every hold</t>
  </si>
  <si>
    <t>In wall HS, consciously spread all fingers maximally wide. More contact = more control.</t>
  </si>
  <si>
    <t>Pinky engagement drill</t>
  </si>
  <si>
    <t>Most people ignore the pinky. Press it into floor — feel the stability change.</t>
  </si>
  <si>
    <t>Individual finger lifts on floor</t>
  </si>
  <si>
    <t>3 × 10 each</t>
  </si>
  <si>
    <t>In plank, lift each finger one at a time. Builds finger-by-finger awareness.</t>
  </si>
  <si>
    <t>Fingertip plank hold</t>
  </si>
  <si>
    <t>Plank on fingertips only. Builds finger strength and endurance for HS corrections.</t>
  </si>
  <si>
    <t>Fingertip push-ups on floor</t>
  </si>
  <si>
    <t>3 × 8</t>
  </si>
  <si>
    <t>Strength for the pressing rescue movement in freestanding HS.</t>
  </si>
  <si>
    <t>Asymmetric hand drill</t>
  </si>
  <si>
    <t>10 kick-ups</t>
  </si>
  <si>
    <t>One hand slightly forward, one back. Trains corrections on non-ideal landings.</t>
  </si>
  <si>
    <t>Wrist angle experiments</t>
  </si>
  <si>
    <t>5 reps each angle</t>
  </si>
  <si>
    <t>Try 0°, 15°, 30° hand turnout. Find YOUR optimal hand position.</t>
  </si>
  <si>
    <t>HS on parallettes</t>
  </si>
  <si>
    <t>5 × 15 sec</t>
  </si>
  <si>
    <t>Elevated grip gives more wrist range for corrections. Step up from floor HS.</t>
  </si>
  <si>
    <t>Two-finger balance attempts</t>
  </si>
  <si>
    <t>5 attempts</t>
  </si>
  <si>
    <t>On parallettes — extreme fingertip training for advanced practitioners.</t>
  </si>
  <si>
    <t>Balance board planche lean</t>
  </si>
  <si>
    <t>Lean on balance board to train active wrist adjustments.</t>
  </si>
  <si>
    <t>Towel grip HS</t>
  </si>
  <si>
    <t>5 kick-ups</t>
  </si>
  <si>
    <t>Thin towel under palms — unstable surface, forces finger micro-adjustments.</t>
  </si>
  <si>
    <t>Sand tray HS</t>
  </si>
  <si>
    <t>Fingertips in sand — visual feedback of pressure distribution after each attempt.</t>
  </si>
  <si>
    <t>HS balance timer</t>
  </si>
  <si>
    <t>End of every session</t>
  </si>
  <si>
    <t>All levels</t>
  </si>
  <si>
    <t>Film yourself, count seconds, log weekly. Non-negotiable progress tracking.</t>
  </si>
  <si>
    <t>Dominant leg kick-up practice</t>
  </si>
  <si>
    <t>Same leg every rep, always. Build muscle memory with one consistent motor pattern.</t>
  </si>
  <si>
    <t>Slow kick-up</t>
  </si>
  <si>
    <t>Kick as slowly as possible — removes momentum, forces shoulder and core strength.</t>
  </si>
  <si>
    <t>Line drill kick-up</t>
  </si>
  <si>
    <t>Tape a straight line on floor. Place index fingers ON the line every rep. Consistency drill.</t>
  </si>
  <si>
    <t>Box kick-up (height target)</t>
  </si>
  <si>
    <t>Kick to a target height on the wall, not to the top. Control your arrival point.</t>
  </si>
  <si>
    <t>Straddle kick-up</t>
  </si>
  <si>
    <t>Legs wide on the way up — lowers centre of mass and makes initial balance easier.</t>
  </si>
  <si>
    <t>Pike kick-up</t>
  </si>
  <si>
    <t>Legs straight and together — harder, cleaner. Prepares for press HS.</t>
  </si>
  <si>
    <t>Spotted kick-up</t>
  </si>
  <si>
    <t>Partner holds ankle — removes fear completely, teaches the vertical feeling.</t>
  </si>
  <si>
    <t>Kick-up to 3/4 height</t>
  </si>
  <si>
    <t>Don't go to full vertical yet. Practice arrival control at a manageable height.</t>
  </si>
  <si>
    <t>Kick-up with metronome</t>
  </si>
  <si>
    <t>1 beat approach, 1 beat kick — trains rhythmic consistency in approach.</t>
  </si>
  <si>
    <t>Back-to-wall kick-up</t>
  </si>
  <si>
    <t>Kick into the wall — good for timid kickers who always under-kick.</t>
  </si>
  <si>
    <t>Kick-up → bail immediately</t>
  </si>
  <si>
    <t>Kick up, immediately bail via cartwheel. Builds confidence and removes fear of falling.</t>
  </si>
  <si>
    <t>Kick-up → hold → cartwheel out</t>
  </si>
  <si>
    <t>Every rep has a planned exit. Makes every kick-up purposeful.</t>
  </si>
  <si>
    <t>Wall-facing kick-up sets</t>
  </si>
  <si>
    <t>Kick toward wall, stop just before touching. Forces controlled arrival at vertical.</t>
  </si>
  <si>
    <t>Kick-up + 5 sec wall + bail</t>
  </si>
  <si>
    <t>Controlled approach, 5 sec wall hold, then clean bail. Quality over quantity.</t>
  </si>
  <si>
    <t>Kick-up into freestanding (no wall)</t>
  </si>
  <si>
    <t>15–20 reps</t>
  </si>
  <si>
    <t>Just reach vertical and bail. Focus on ARRIVING, not holding yet.</t>
  </si>
  <si>
    <t>Kick-up + hold attempt + log</t>
  </si>
  <si>
    <t>3 attempts</t>
  </si>
  <si>
    <t>Every session: 3 max-effort holds. Record seconds. The fundamental daily metric.</t>
  </si>
  <si>
    <t>Accumulation holds</t>
  </si>
  <si>
    <t>60 sec total/session</t>
  </si>
  <si>
    <t>Goal: accumulate 60 sec of total freestanding time per session in any hold lengths.</t>
  </si>
  <si>
    <t>Straddle HS hold</t>
  </si>
  <si>
    <t>5 × 10–20 sec</t>
  </si>
  <si>
    <t>Wider legs = lower CoM = easier balance. Good stepping stone to full HS.</t>
  </si>
  <si>
    <t>Tuck HS hold</t>
  </si>
  <si>
    <t>Fully tucked — most stable shape. Good for finding balance point for first time.</t>
  </si>
  <si>
    <t>Pike HS hold</t>
  </si>
  <si>
    <t>5 × 10–15 sec</t>
  </si>
  <si>
    <t>Hips piked, legs forward at 90°. Intermediate between tuck and full.</t>
  </si>
  <si>
    <t>Split HS hold</t>
  </si>
  <si>
    <t>5 × 10 sec each</t>
  </si>
  <si>
    <t>One leg forward, one back. Often easier for flexible people than full straight HS.</t>
  </si>
  <si>
    <t>Straddle to close drill</t>
  </si>
  <si>
    <t>Hold straddle HS, slowly close legs to full — much harder balance.</t>
  </si>
  <si>
    <t>Tuck to full extension</t>
  </si>
  <si>
    <t>From tuck hold, open to full extension slowly. Strength + balance challenge.</t>
  </si>
  <si>
    <t>HS in a corner</t>
  </si>
  <si>
    <t>Two walls catch you on two sides — more freedom than one wall, less than open space.</t>
  </si>
  <si>
    <t>HS with spotter at hips</t>
  </si>
  <si>
    <t>Spotter holds waist (not ankles) — allows real micro-balance with safety net.</t>
  </si>
  <si>
    <t>HS on soft mat</t>
  </si>
  <si>
    <t>Forgiving surface — less wrist stress, good for high volume sessions.</t>
  </si>
  <si>
    <t>More range for fingertip corrections. Wrists in neutral — easier on joints.</t>
  </si>
  <si>
    <t>One-toe spot to freestanding</t>
  </si>
  <si>
    <t>One big toe lightly on wall. Remove it the moment you feel vertical.</t>
  </si>
  <si>
    <t>PR attempt protocol</t>
  </si>
  <si>
    <t>3 max attempts</t>
  </si>
  <si>
    <t>At START of session when fresh: 3 max hold attempts before any fatigue.</t>
  </si>
  <si>
    <t>Ladder set holds</t>
  </si>
  <si>
    <t>1–2–3–4–5 sec</t>
  </si>
  <si>
    <t>Hold 1 sec, rest. Hold 2 sec, rest. Climb the ladder. Then descend.</t>
  </si>
  <si>
    <t>Rest-pause holds</t>
  </si>
  <si>
    <t>3 × to failure</t>
  </si>
  <si>
    <t>Hold to failure, rest 10 sec, hold again. Extends time under tension.</t>
  </si>
  <si>
    <t>EMOM kick-ups</t>
  </si>
  <si>
    <t>10 min EMOM</t>
  </si>
  <si>
    <t>Every minute on the minute: 3 kick-ups. 10 minutes total.</t>
  </si>
  <si>
    <t>Greasing the groove</t>
  </si>
  <si>
    <t>Every 1–2 hours</t>
  </si>
  <si>
    <t>3–5 kick-ups throughout the day. Neural encoding — most effective for skill acquisition.</t>
  </si>
  <si>
    <t>Serratus push-ups</t>
  </si>
  <si>
    <t>At top of push-up, push extra — scapular protraction. Hugely important for active HS shoulders.</t>
  </si>
  <si>
    <t>Z-press</t>
  </si>
  <si>
    <t>Seated on floor, overhead press. Mimics HS press demands without balance challenge.</t>
  </si>
  <si>
    <t>Loaded overhead carry</t>
  </si>
  <si>
    <t>3 × 20m</t>
  </si>
  <si>
    <t>KB or dumbbell overhead, walk 20m. Builds overhead stability endurance.</t>
  </si>
  <si>
    <t>Single-arm overhead carry</t>
  </si>
  <si>
    <t>3 × 20m each</t>
  </si>
  <si>
    <t>One-arm loaded carry — asymmetric stability, HS OAH prep.</t>
  </si>
  <si>
    <t>Ring support hold</t>
  </si>
  <si>
    <t>Straight-arm support on rings — RTO position, serratus and shoulder stability.</t>
  </si>
  <si>
    <t>Bar support shrugs</t>
  </si>
  <si>
    <t>Support on parallel bars, shrug up and down. Scapular control isolation.</t>
  </si>
  <si>
    <t>Band overhead walks</t>
  </si>
  <si>
    <t>3 × 10m each</t>
  </si>
  <si>
    <t>Band around wrists, arms overhead, walk sideways. Shoulder stability endurance.</t>
  </si>
  <si>
    <t>Prone Y-T-W-L raises</t>
  </si>
  <si>
    <t>Lying face down, raise arms in each letter shape. Full rotator cuff conditioning.</t>
  </si>
  <si>
    <t>Scapular pull-ups</t>
  </si>
  <si>
    <t>Hang from bar, depress scapula only — no elbow bend. Scapular control.</t>
  </si>
  <si>
    <t>Band pull-aparts</t>
  </si>
  <si>
    <t>3 × 15 reps</t>
  </si>
  <si>
    <t>Rear delt and rhomboid health. Antagonist balance for all the pressing.</t>
  </si>
  <si>
    <t>Face pulls</t>
  </si>
  <si>
    <t>Cable or band. External rotation, injury prevention for overhead training.</t>
  </si>
  <si>
    <t>Dragon flag negatives</t>
  </si>
  <si>
    <t>Extreme hollow body strength. Lower as slowly as possible.</t>
  </si>
  <si>
    <t>Ab wheel rollout</t>
  </si>
  <si>
    <t>Hollow body under load. Direct core transfer to HS shape.</t>
  </si>
  <si>
    <t>Hanging leg raises</t>
  </si>
  <si>
    <t>Compression + hollow body combined. Good for press HS preparation.</t>
  </si>
  <si>
    <t>V-ups</t>
  </si>
  <si>
    <t>Dynamic hollow body. Core power and awareness.</t>
  </si>
  <si>
    <t>Planche lean</t>
  </si>
  <si>
    <t>Straight arm, lean forward in plank position. Shoulder prehab and strength.</t>
  </si>
  <si>
    <t>Press HS from L-sit</t>
  </si>
  <si>
    <t>3 × 3 reps</t>
  </si>
  <si>
    <t>From parallel bars L-sit, press up to HS. Elite pressing strength goal.</t>
  </si>
  <si>
    <t>Straddle press negatives</t>
  </si>
  <si>
    <t>Stand in straddle, slowly lower to floor. Eccentric press HS training.</t>
  </si>
  <si>
    <t>Tuck press negatives</t>
  </si>
  <si>
    <t>Same but tucked — easier version of press HS eccentric.</t>
  </si>
  <si>
    <t>Box pike press</t>
  </si>
  <si>
    <t>Feet on box, press toward vertical. Press HS progressive training.</t>
  </si>
  <si>
    <t>Rice bucket training</t>
  </si>
  <si>
    <t>3 × 2 min</t>
  </si>
  <si>
    <t>Plunge hand in rice, rotate and grab. Classical finger/wrist conditioning.</t>
  </si>
  <si>
    <t>Dead hang finger curls</t>
  </si>
  <si>
    <t>Hang from bar, curl fingers open and closed. Tendon health maintenance.</t>
  </si>
  <si>
    <t>Sleeper stretch</t>
  </si>
  <si>
    <t>Lying on side, internal rotation stretch. Posterior capsule mobility.</t>
  </si>
  <si>
    <t>Headstand hold (tripod)</t>
  </si>
  <si>
    <t>Tripod headstand. Safe inversion practice — builds inversion comfort.</t>
  </si>
  <si>
    <t>Forearm stand hold</t>
  </si>
  <si>
    <t>Easier than HS — builds inversion comfort and shoulder endurance with less wrist load.</t>
  </si>
  <si>
    <t>Crow pose hold</t>
  </si>
  <si>
    <t>Builds wrist loading comfort and inversion entry confidence.</t>
  </si>
  <si>
    <t>Crow → HS kick-up</t>
  </si>
  <si>
    <t>From crow, kick both legs up simultaneously. Advanced combined drill.</t>
  </si>
  <si>
    <t>Standing → tuck → pike → full HS</t>
  </si>
  <si>
    <t>Progressive entry through shapes in one movement. Requires strong press.</t>
  </si>
  <si>
    <t>HS → bridge over-balance</t>
  </si>
  <si>
    <t>Over-balance into a backbend exit. Requires spinal and shoulder flexibility.</t>
  </si>
  <si>
    <t>Cartwheel to HS stop</t>
  </si>
  <si>
    <t>Do a cartwheel, try to pause at the vertical point. Control at speed.</t>
  </si>
  <si>
    <t>Round-off to HS stop</t>
  </si>
  <si>
    <t>Round-off then pause vertical. Gymnastics-based power + control.</t>
  </si>
  <si>
    <t>Tic-tac to HS</t>
  </si>
  <si>
    <t>Run at wall, foot push off wall, into HS. Parkour entry drill.</t>
  </si>
  <si>
    <t>Back walkover into HS</t>
  </si>
  <si>
    <t>From bridge, kick over into HS. Requires flexibility and power.</t>
  </si>
  <si>
    <t>Overhead flexibility test</t>
  </si>
  <si>
    <t>Daily check</t>
  </si>
  <si>
    <t>Can you get arms fully vertical by ears with hollow body while standing? If not, do daily.</t>
  </si>
  <si>
    <t>Lat stretch on bar</t>
  </si>
  <si>
    <t>Hang, let lats lengthen. Opens overhead range essential for HS alignment.</t>
  </si>
  <si>
    <t>Thoracic extension on foam roller</t>
  </si>
  <si>
    <t>Mid-back mobility. Tight thoracic spine causes arch in HS.</t>
  </si>
  <si>
    <t>Chest opening on foam roller</t>
  </si>
  <si>
    <t>Opens anterior shoulder and chest for full overhead range.</t>
  </si>
  <si>
    <t>Hamstring stretching</t>
  </si>
  <si>
    <t>3 × 45 sec each</t>
  </si>
  <si>
    <t>Tight hamstrings affect kick-up and pike quality. Daily work.</t>
  </si>
  <si>
    <t>Hip flexor stretch</t>
  </si>
  <si>
    <t>Tight hip flexors cause arch in HS. Critical and often overlooked.</t>
  </si>
  <si>
    <t>Pancake / straddle stretch</t>
  </si>
  <si>
    <t>3 × 60 sec</t>
  </si>
  <si>
    <t>For straddle HS and press HS. Wide leg seated, chest to floor.</t>
  </si>
  <si>
    <t>Downward dog heel alternations</t>
  </si>
  <si>
    <t>Dynamic mobility for calves, hamstrings, and shoulders together.</t>
  </si>
  <si>
    <t>Wall overhead reach</t>
  </si>
  <si>
    <t>Stand facing wall, slide arms up while keeping hollow. Tight shoulder test.</t>
  </si>
  <si>
    <t>Pike compression holds</t>
  </si>
  <si>
    <t>Seated, compress legs to chest. Trains press HS hip flexor compression.</t>
  </si>
  <si>
    <t>Pancake stretch rocking</t>
  </si>
  <si>
    <t>In straddle, rock forward and hold. Increases hip and groin range over time.</t>
  </si>
  <si>
    <t>One-arm HS lean</t>
  </si>
  <si>
    <t>5 reps each side</t>
  </si>
  <si>
    <t>Lean weight to one arm, light touch with other. Foundational OAH prep drill.</t>
  </si>
  <si>
    <t>HS pirouette</t>
  </si>
  <si>
    <t>5 each way</t>
  </si>
  <si>
    <t>360° rotation in freestanding HS. Weight shifts fully to one arm briefly.</t>
  </si>
  <si>
    <t>Double pirouette</t>
  </si>
  <si>
    <t>3 each way</t>
  </si>
  <si>
    <t>Elite</t>
  </si>
  <si>
    <t>Two full rotations in HS. Very advanced — requires solid single pirouette first.</t>
  </si>
  <si>
    <t>HS walking forward</t>
  </si>
  <si>
    <t>3 × 5m</t>
  </si>
  <si>
    <t>Walk on hands forward. Trains dynamic balance and shoulder endurance.</t>
  </si>
  <si>
    <t>HS walking backward</t>
  </si>
  <si>
    <t>Harder than forward — different weight shift mechanics.</t>
  </si>
  <si>
    <t>HS push-up freestanding</t>
  </si>
  <si>
    <t>Full range HS push-up without wall. Requires solid 10+ sec hold first.</t>
  </si>
  <si>
    <t>Tiger bend push-up</t>
  </si>
  <si>
    <t>Forearm → straight arm in HS. Tricep and shoulder power.</t>
  </si>
  <si>
    <t>HS on fingers only</t>
  </si>
  <si>
    <t>Handstand on fingertips only, no palms. Extreme finger strength.</t>
  </si>
  <si>
    <t>HS on parallettes with push-up</t>
  </si>
  <si>
    <t>Combines parallette HS stability with push-up strength. Full package.</t>
  </si>
  <si>
    <t>HS snap-down</t>
  </si>
  <si>
    <t>Kick up to HS, snap feet down fast. Power and timing.</t>
  </si>
  <si>
    <t>Cast to HS (on bar)</t>
  </si>
  <si>
    <t>Swing from bar, cast up to HS. Gymnastics skill — requires bar.</t>
  </si>
  <si>
    <t>HS on beam / narrow surface</t>
  </si>
  <si>
    <t>On gymnastics beam or 2×4 plank on floor. Narrow base challenge.</t>
  </si>
  <si>
    <t>HS on sand</t>
  </si>
  <si>
    <t>Beach HS. Total proprioceptive challenge — grip and surface change completely.</t>
  </si>
  <si>
    <t>Handstand on knuckles</t>
  </si>
  <si>
    <t>On fists — wrist in neutral. Different stability challenge, good for wrist pain prevention.</t>
  </si>
  <si>
    <t>Individual finger lifts in plank</t>
  </si>
  <si>
    <t>In plank, lift each finger one at a time. Foundational finger awareness drill.</t>
  </si>
  <si>
    <t>Finger spread awareness</t>
  </si>
  <si>
    <t>Consciously spread all fingers maximally wide during every hold.</t>
  </si>
  <si>
    <t>Most people ignore the pinky. Actively press it into the floor.</t>
  </si>
  <si>
    <t>Index finger line drill</t>
  </si>
  <si>
    <t>Tape an X on floor, place index fingers exactly on it every kick-up. Consistency.</t>
  </si>
  <si>
    <t>Fingernail-down press (wall)</t>
  </si>
  <si>
    <t>Press with the very tip of fingers on wall — extreme fingertip isolation.</t>
  </si>
  <si>
    <t>Thin towel under palms — unstable surface forces major finger micro-adjustments.</t>
  </si>
  <si>
    <t>Fingertips in sand tray — visual feedback of pressure points after each attempt.</t>
  </si>
  <si>
    <t>Asymmetric hand placement drill</t>
  </si>
  <si>
    <t>One hand slightly forward, one back — trains corrections on imperfect landings.</t>
  </si>
  <si>
    <t>5 reps each</t>
  </si>
  <si>
    <t>Try 0°, 15°, 30° hand turnout. Find your optimal angle.</t>
  </si>
  <si>
    <t>3 × 10</t>
  </si>
  <si>
    <t>Hang from bar, curl fingers open/closed. Tendon health for daily training.</t>
  </si>
  <si>
    <t>Classical finger and wrist conditioning. Plunge, rotate, grab, release.</t>
  </si>
  <si>
    <t>Plank on fingertips only. Finger endurance specifically for HS.</t>
  </si>
  <si>
    <t>Fixed gaze drill</t>
  </si>
  <si>
    <t>Every kick-up</t>
  </si>
  <si>
    <t>Mark an X between hands before EVERY kick-up. Look at it. Non-negotiable.</t>
  </si>
  <si>
    <t>Eyes-closed wall HS</t>
  </si>
  <si>
    <t>Close eyes in wall hold. Vestibular system forced to activate — transfers to free HS.</t>
  </si>
  <si>
    <t>Peripheral gaze HS</t>
  </si>
  <si>
    <t>5 × 15 sec wall</t>
  </si>
  <si>
    <t>Soften gaze, don't focus sharply. Some people balance better with soft eyes.</t>
  </si>
  <si>
    <t>Head position experiments</t>
  </si>
  <si>
    <t>Try neutral vs slight tuck vs extended. Find YOUR optimal head position.</t>
  </si>
  <si>
    <t>Gaze after rotation</t>
  </si>
  <si>
    <t>Spin 3× on the spot, then immediately kick up. Trains balance from disoriented state.</t>
  </si>
  <si>
    <t>Balance board eyes closed</t>
  </si>
  <si>
    <t>Stand on balance board, eyes closed. General vestibular training that transfers to HS.</t>
  </si>
  <si>
    <t>Metronome focus in wall HS</t>
  </si>
  <si>
    <t>Listen to metronome while holding. External focus quiets mental noise.</t>
  </si>
  <si>
    <t>Verbal counting in HS</t>
  </si>
  <si>
    <t>Every hold attempt</t>
  </si>
  <si>
    <t>Count out loud during holds — prevents breath-holding, trains dual-tasking.</t>
  </si>
  <si>
    <t>Distraction training</t>
  </si>
  <si>
    <t>5 × 20 sec wall</t>
  </si>
  <si>
    <t>Hold wall HS while someone talks to you or loud music plays. Competition prep.</t>
  </si>
  <si>
    <t>Scapular wall slides</t>
  </si>
  <si>
    <t>Forearms on wall, slide arms up. Serratus activation — hugely important for HS.</t>
  </si>
  <si>
    <t>At top of push-up, push extra into the floor. Scapular protraction isolation.</t>
  </si>
  <si>
    <t>Handstand shrugs on wall</t>
  </si>
  <si>
    <t>In wall HS, depress and elevate scapula. Feel the difference in alignment.</t>
  </si>
  <si>
    <t>Ring support hold RTO</t>
  </si>
  <si>
    <t>Straight-arm rings support, rings turned out. Serratus and rotator cuff stability.</t>
  </si>
  <si>
    <t>On parallel bars, shrug up and down. Direct scapular control.</t>
  </si>
  <si>
    <t>3 × 10m each way</t>
  </si>
  <si>
    <t>Band around wrists, arms overhead, walk sideways. Endurance drill.</t>
  </si>
  <si>
    <t>KB overhead, walk 20m. Shoulder stability endurance.</t>
  </si>
  <si>
    <t>Asymmetric — trains the shoulder independently for OAH prep.</t>
  </si>
  <si>
    <t>KB upside down, extremely unstable. Wrist + shoulder simultaneously.</t>
  </si>
  <si>
    <t>Bottom-up KB hold</t>
  </si>
  <si>
    <t>Just hold the inverted KB overhead. Pure shoulder micro-stability.</t>
  </si>
  <si>
    <t>Overhead band pull-aparts</t>
  </si>
  <si>
    <t>Band overhead, pull apart while keeping arms up. Rotator cuff + rear delt.</t>
  </si>
  <si>
    <t>Face down, raise arms in Y-T-W-L. Full rotator cuff conditioning.</t>
  </si>
  <si>
    <t>Internal rotation stretch lying on side. Posterior capsule mobility.</t>
  </si>
  <si>
    <t>3–5 kick-ups throughout the day. Best neural encoding protocol for skill acquisition.</t>
  </si>
  <si>
    <t>Micro-session protocol</t>
  </si>
  <si>
    <t>5 min × 5/day</t>
  </si>
  <si>
    <t>5 minutes, 5 times per day. Total volume without fatigue accumulation.</t>
  </si>
  <si>
    <t>Every minute on the minute: 3 kick-ups. 10 minutes total. Volume + consistency.</t>
  </si>
  <si>
    <t>Hold 1 sec, rest. Hold 2 sec, rest. Climb to max, descend. Progressive loading.</t>
  </si>
  <si>
    <t>Goal: 60 sec total freestanding time per session in any length holds.</t>
  </si>
  <si>
    <t>3 attempts start of session</t>
  </si>
  <si>
    <t>Always attempt max hold FIRST when fresh — before any fatigue.</t>
  </si>
  <si>
    <t>Volume day / intensity day</t>
  </si>
  <si>
    <t>Alternate daily</t>
  </si>
  <si>
    <t>Alternate high-rep days (volume) with max-hold days (intensity).</t>
  </si>
  <si>
    <t>Timed kick-up blocks</t>
  </si>
  <si>
    <t>5 min blocks</t>
  </si>
  <si>
    <t>Strict 5-minute blocks of kick-ups. Count total successful holds per block.</t>
  </si>
  <si>
    <t>Cold start kicks</t>
  </si>
  <si>
    <t>3 kick-ups on waking</t>
  </si>
  <si>
    <t>First thing in morning, no warm-up. Trains consistency across physiological states.</t>
  </si>
  <si>
    <t>Wrist neutral, more finger range. Standard upgrade from floor HS.</t>
  </si>
  <si>
    <t>HS on yoga blocks</t>
  </si>
  <si>
    <t>Slightly elevated, slightly wobbly. Intermediate instability.</t>
  </si>
  <si>
    <t>HS on balance board</t>
  </si>
  <si>
    <t>Board rocks front-to-back — directly trains the most common imbalance axis.</t>
  </si>
  <si>
    <t>HS on folded yoga mat</t>
  </si>
  <si>
    <t>Soft, slightly unstable — gentle intro to instability training.</t>
  </si>
  <si>
    <t>HS on foam pad</t>
  </si>
  <si>
    <t>More unstable than mat. Grip and feedback change significantly.</t>
  </si>
  <si>
    <t>Beach HS. Total proprioceptive challenge.</t>
  </si>
  <si>
    <t>Barefoot vs socked comparison</t>
  </si>
  <si>
    <t>Feel how grip changes between surfaces. Increases surface awareness.</t>
  </si>
  <si>
    <t>Parallettes with turned-out grip</t>
  </si>
  <si>
    <t>External rotation at wrist — different muscle engagement pattern.</t>
  </si>
  <si>
    <t>HS on knuckles</t>
  </si>
  <si>
    <t>On fists — wrist in neutral. Stability and wrist challenge combined.</t>
  </si>
  <si>
    <t>Fingertip parallette HS</t>
  </si>
  <si>
    <t>Only fingertips on bar. Maximum finger strength demand.</t>
  </si>
  <si>
    <t>Forward roll bail</t>
  </si>
  <si>
    <t>Bail via controlled forward roll — advanced safe exit. Eliminates fear of falling.</t>
  </si>
  <si>
    <t>HS → lower to pike</t>
  </si>
  <si>
    <t>Controlled descent to seated pike. Eccentric shoulder and core strength.</t>
  </si>
  <si>
    <t>HS → lower to straddle</t>
  </si>
  <si>
    <t>Controlled descent with legs wide. Flexibility + eccentric strength.</t>
  </si>
  <si>
    <t>HS → split descent</t>
  </si>
  <si>
    <t>One leg comes down at a time. Asymmetric control.</t>
  </si>
  <si>
    <t>HS → walk → stop</t>
  </si>
  <si>
    <t>3 × 3 steps</t>
  </si>
  <si>
    <t>Walk a few steps, try to stop and hold. Dynamic to static transition.</t>
  </si>
  <si>
    <t>HS pirouette entry</t>
  </si>
  <si>
    <t>3 reps each way</t>
  </si>
  <si>
    <t>Walk into pirouette rather than kicking up. Advanced entry variation.</t>
  </si>
  <si>
    <t>From crow, kick both legs up. Combined skill.</t>
  </si>
  <si>
    <t>Pause at vertical point during cartwheel. Timing and control.</t>
  </si>
  <si>
    <t>HS → forearm stand</t>
  </si>
  <si>
    <t>3 reps</t>
  </si>
  <si>
    <t>Lower from straight arm to forearms — tiger bend. Tricep strength.</t>
  </si>
  <si>
    <t>HS → bridge</t>
  </si>
  <si>
    <t>Over-balance into a backbend. Requires shoulder and spinal flexibility.</t>
  </si>
  <si>
    <t>Round-off, pause vertical. Gymnastics power + control.</t>
  </si>
  <si>
    <t>Standing → tuck → pike → full</t>
  </si>
  <si>
    <t>Progressive entry through all shapes. Requires strong pressing ability.</t>
  </si>
  <si>
    <t>Ankle-hold spot</t>
  </si>
  <si>
    <t>Partner holds both ankles. Classic beginner spot — removes fear completely.</t>
  </si>
  <si>
    <t>Hip-hold spot</t>
  </si>
  <si>
    <t>Partner holds hips — allows real micro-balance with safety. Better than ankle spot.</t>
  </si>
  <si>
    <t>One-ankle spot</t>
  </si>
  <si>
    <t>Partner holds only one ankle. Forces some independent balance.</t>
  </si>
  <si>
    <t>Finger-touch spot</t>
  </si>
  <si>
    <t>Partner puts one finger lightly on your calf — mostly psychological.</t>
  </si>
  <si>
    <t>Spot from side only</t>
  </si>
  <si>
    <t>Partner stands ready but doesn't touch. Pure psychological safety net.</t>
  </si>
  <si>
    <t>Partner alignment check</t>
  </si>
  <si>
    <t>3 × 30 sec wall</t>
  </si>
  <si>
    <t>Partner stands side-on and calls out shape cues while you hold. Eyes on your form.</t>
  </si>
  <si>
    <t>Mirror drill</t>
  </si>
  <si>
    <t>10 kick-ups each</t>
  </si>
  <si>
    <t>Two people kick up simultaneously facing each other. Timing and motivation.</t>
  </si>
  <si>
    <t>Partner tapping drill</t>
  </si>
  <si>
    <t>3 × 20 sec wall</t>
  </si>
  <si>
    <t>Partner lightly taps different body parts to give correction cues.</t>
  </si>
  <si>
    <t>Competitive hold timing</t>
  </si>
  <si>
    <t>5 rounds</t>
  </si>
  <si>
    <t>Both kick up simultaneously, last one standing wins. Game motivation.</t>
  </si>
  <si>
    <t>Partner verbal counting</t>
  </si>
  <si>
    <t>Every hold</t>
  </si>
  <si>
    <t>Partner counts out loud so you don't have to. Frees all mental bandwidth.</t>
  </si>
  <si>
    <t>Pre-kick-up ritual</t>
  </si>
  <si>
    <t>Every session</t>
  </si>
  <si>
    <t>Same 3 steps every time: set hands → look at spot → single breath → kick. Neural consistency.</t>
  </si>
  <si>
    <t>Visualization hold</t>
  </si>
  <si>
    <t>Close eyes, visualize perfect hold for 30 sec, THEN kick up. Mental prep.</t>
  </si>
  <si>
    <t>Quiet mind drill</t>
  </si>
  <si>
    <t>In wall HS, count breaths 1–10 without losing count. Trains mental stillness.</t>
  </si>
  <si>
    <t>Progressive relaxation in HS</t>
  </si>
  <si>
    <t>In wall hold, consciously relax face, jaw, neck one at a time. Reduces tension.</t>
  </si>
  <si>
    <t>Cue word anchor</t>
  </si>
  <si>
    <t>Pick one word (e.g. 'long' or 'tight') and repeat it during every hold.</t>
  </si>
  <si>
    <t>Fear mapping</t>
  </si>
  <si>
    <t>Once per week</t>
  </si>
  <si>
    <t>Write down what you're afraid of falling into. Then practice THAT bail specifically.</t>
  </si>
  <si>
    <t>Video review at 0.5x</t>
  </si>
  <si>
    <t>Weekly</t>
  </si>
  <si>
    <t>Film every session from the side, watch at half speed. Reveals invisible faults.</t>
  </si>
  <si>
    <t>Hold wall HS while someone talks to you or loud music plays. Builds focus.</t>
  </si>
  <si>
    <t>Metronome focus drill</t>
  </si>
  <si>
    <t>Listen to metronome during wall hold. External focus quiets mental noise.</t>
  </si>
  <si>
    <t>Verbal counting during holds</t>
  </si>
  <si>
    <t>Count out loud. Prevents breath-holding and trains dual-tasking simultaneously.</t>
  </si>
  <si>
    <t>Tuck HS</t>
  </si>
  <si>
    <t>Knees to chest — most stable shape. Find balance point here first.</t>
  </si>
  <si>
    <t>Pike HS</t>
  </si>
  <si>
    <t>Hips piked, legs at 90° — intermediate shape between tuck and full.</t>
  </si>
  <si>
    <t>Straddle HS</t>
  </si>
  <si>
    <t>Legs wide — lower CoM, more forgiving. Most practical stepping stone.</t>
  </si>
  <si>
    <t>Full HS (legs together)</t>
  </si>
  <si>
    <t>5 × max</t>
  </si>
  <si>
    <t>The goal shape. Perfectly straight line from wrists to heels.</t>
  </si>
  <si>
    <t>Split HS</t>
  </si>
  <si>
    <t>One leg forward, one back. Easier for hypermobile people.</t>
  </si>
  <si>
    <t>Arch HS (intentional)</t>
  </si>
  <si>
    <t>5 × 10 sec wall</t>
  </si>
  <si>
    <t>Deliberately banana. Learn the shape so you can feel and fix it.</t>
  </si>
  <si>
    <t>Mexican HS</t>
  </si>
  <si>
    <t>Exaggerated hollow, legs slightly past vertical forward. Some find it easier to balance.</t>
  </si>
  <si>
    <t>Tuck to full extension in hold</t>
  </si>
  <si>
    <t>Open from tuck to full extension during hold. Strength + balance.</t>
  </si>
  <si>
    <t>Straddle to close in hold</t>
  </si>
  <si>
    <t>Straddle hold, then slowly close legs. Much harder balance challenge.</t>
  </si>
  <si>
    <t>One-leg HS</t>
  </si>
  <si>
    <t>One leg fully extended, one tucked. Asymmetric — prep for one-arm HS.</t>
  </si>
  <si>
    <t>Kick up to HS, snap feet down fast. Power and snap timing drill.</t>
  </si>
  <si>
    <t>Cast to HS on bar</t>
  </si>
  <si>
    <t>Swing from hanging, cast up to HS. Requires a bar. Gymnastics skill.</t>
  </si>
  <si>
    <t>Kip to HS on bar</t>
  </si>
  <si>
    <t>Kip from hang to HS. Requires bar and precise timing.</t>
  </si>
  <si>
    <t>HS flat-back on mat</t>
  </si>
  <si>
    <t>HS with straight body, lower to flat back on mat. Core strength.</t>
  </si>
  <si>
    <t>360° rotation. Weight shifts to one arm briefly.</t>
  </si>
  <si>
    <t>Two full rotations. Very advanced — solid single first.</t>
  </si>
  <si>
    <t>Run at wall, foot push off wall, into HS. Parkour entry.</t>
  </si>
  <si>
    <t>Gymnastics beam or 2×4 on floor. Narrow base total challenge.</t>
  </si>
  <si>
    <t>Press HS from L-sit on bars</t>
  </si>
  <si>
    <t>3 × 3</t>
  </si>
  <si>
    <t>From L-sit, press up to HS. Elite pressing strength.</t>
  </si>
  <si>
    <t>From bridge, kick over into HS. Flexibility and power combined.</t>
  </si>
  <si>
    <t>Phone timer with audio beeps</t>
  </si>
  <si>
    <t>Set repeating 1-second beep — count beats during holds. Accurate time tracking.</t>
  </si>
  <si>
    <t>Slow-motion video (240fps)</t>
  </si>
  <si>
    <t>Film at 240fps if phone supports. See finger pressure and shape in detail.</t>
  </si>
  <si>
    <t>Side-on video review</t>
  </si>
  <si>
    <t>Film from side at 0.5× speed. Reveals shape issues invisible to self-perception.</t>
  </si>
  <si>
    <t>Chalk on hands</t>
  </si>
  <si>
    <t>As needed</t>
  </si>
  <si>
    <t>Shows exact pressure distribution on floor — where are you actually loading?</t>
  </si>
  <si>
    <t>Sticky mat vs smooth floor</t>
  </si>
  <si>
    <t>Feel how surface friction changes finger correction ability and confidence.</t>
  </si>
  <si>
    <t>Marked hand positions on floor</t>
  </si>
  <si>
    <t>Tape outlines of your hands — check placement consistency every kick-up.</t>
  </si>
  <si>
    <t>Laser pointer on wall (waist)</t>
  </si>
  <si>
    <t>Weekly check</t>
  </si>
  <si>
    <t>Tape laser to waist pointing at wall — see how much hips wobble during hold.</t>
  </si>
  <si>
    <t>Progressive hold log</t>
  </si>
  <si>
    <t>Daily</t>
  </si>
  <si>
    <t>Write best hold every single day. Trend visible over weeks — the most motivating data.</t>
  </si>
  <si>
    <t>Chalk footprint trace</t>
  </si>
  <si>
    <t>After each hold</t>
  </si>
  <si>
    <t>Chalk on feet — see exactly where you step out, showing consistent bail patterns.</t>
  </si>
  <si>
    <t xml:space="preserve">  FOUNDATION &amp; BODY SHAPE</t>
  </si>
  <si>
    <t xml:space="preserve">  WRIST &amp; SHOULDER PREP</t>
  </si>
  <si>
    <t xml:space="preserve">  WALL DRILLS</t>
  </si>
  <si>
    <t xml:space="preserve">  BALANCE &amp; FINGERTIP CONTROL</t>
  </si>
  <si>
    <t xml:space="preserve">  KICK-UP TECHNIQUE</t>
  </si>
  <si>
    <t xml:space="preserve">  FREESTANDING HOLD DEVELOPMENT</t>
  </si>
  <si>
    <t xml:space="preserve">  STRENGTH BUILDERS</t>
  </si>
  <si>
    <t xml:space="preserve">  INVERSION PREP &amp; ENTRY VARIATIONS</t>
  </si>
  <si>
    <t xml:space="preserve">  FLEXIBILITY &amp; MOBILITY</t>
  </si>
  <si>
    <t xml:space="preserve">  ADVANCED / VARIATION DRILLS</t>
  </si>
  <si>
    <t xml:space="preserve">  HAND &amp; FINGER SPECIFICS</t>
  </si>
  <si>
    <t xml:space="preserve">  GAZE &amp; VESTIBULAR TRAINING</t>
  </si>
  <si>
    <t xml:space="preserve">  SHOULDER GIRDLE ISOLATION</t>
  </si>
  <si>
    <t xml:space="preserve">  REPETITION &amp; VOLUME PROTOCOLS</t>
  </si>
  <si>
    <t xml:space="preserve">  PROPRIOCEPTION &amp; INSTABILITY</t>
  </si>
  <si>
    <t xml:space="preserve">  TRANSITION DRILLS</t>
  </si>
  <si>
    <t xml:space="preserve">  PARTNER &amp; SPOTTED DRILLS</t>
  </si>
  <si>
    <t xml:space="preserve">  MENTAL &amp; FOCUS DRILLS</t>
  </si>
  <si>
    <t xml:space="preserve">  SHAPE VARIATIONS</t>
  </si>
  <si>
    <t xml:space="preserve">  GYMNASTICS-BORROWED CONDITIONING</t>
  </si>
  <si>
    <t xml:space="preserve">  TIMING &amp; FEEDBACK TOOLS</t>
  </si>
  <si>
    <t/>
  </si>
  <si>
    <t>Wall handstand walk-in</t>
  </si>
  <si>
    <t>Stand facing wall, walk hands down into HS position. Teaches weight transfer and wrist loading progressively before any kick-up.</t>
  </si>
  <si>
    <t>Box handstand hold</t>
  </si>
  <si>
    <t>Hands on floor, feet on a box at hip height — pike position. First real wrist loading drill. Do this before any wall HS.</t>
  </si>
  <si>
    <t>Box handstand shoulder shrugs</t>
  </si>
  <si>
    <t>In box HS position, actively shrug shoulders up and down. First isolated serratus drill in an actual inversion.</t>
  </si>
  <si>
    <t>Pike on box — heel drive</t>
  </si>
  <si>
    <t>In box HS pike, push heels toward ceiling one at a time. Teaches the kick-up motion under controlled load.</t>
  </si>
  <si>
    <t>Wall tuck HS hold</t>
  </si>
  <si>
    <t>Back to wall, knees tucked to chest. Finds your balance point over your hands without the full straight-body challenge. Bridge between wall hold and freestanding tuck.</t>
  </si>
  <si>
    <t>Wall straddle HS hold</t>
  </si>
  <si>
    <t>Back to wall, legs straddled wide. Lower centre of mass makes it easier to feel true vertical over your hands.</t>
  </si>
  <si>
    <t>Wall pike HS hold</t>
  </si>
  <si>
    <t>Back to wall, hips piked and legs forward. Trains the pike shape under safe conditions before going freestanding.</t>
  </si>
  <si>
    <t>Wall HS slide to tuck</t>
  </si>
  <si>
    <t>Start in wall HS hold (back to wall, full extension). Slowly bring knees to chest into tuck while maintaining hand pressure. Then extend back out. Teaches you to manipulate shape without losing balance over your hands.</t>
  </si>
  <si>
    <t>Wall HS slide to straddle</t>
  </si>
  <si>
    <t>From wall HS, slowly open legs to straddle and back to full. Controls centre of mass shift — direct prep for straddle press.</t>
  </si>
  <si>
    <t>Wall HS slide to pike</t>
  </si>
  <si>
    <t>From wall HS, slowly pike hips forward bringing legs down to horizontal and back up. Eccentric and concentric control of the press shape.</t>
  </si>
  <si>
    <t>Chest-to-wall shoulder touch</t>
  </si>
  <si>
    <t>5 × 10 reps</t>
  </si>
  <si>
    <t>In chest-to-wall HS, slowly lower one shoulder toward wall and back. Teaches unilateral shoulder control — direct OAH prep.</t>
  </si>
  <si>
    <t>Wall HS hold with leg split</t>
  </si>
  <si>
    <t>Back to wall, one leg on wall one leg free. First taste of asymmetric load over your hands.</t>
  </si>
  <si>
    <t>Kick-up to wall + immediate shape check</t>
  </si>
  <si>
    <t>Kick up, freeze, then mentally scan: wrists stacked? shoulders active? ribs in? hips over? Don't just hold — audit.</t>
  </si>
  <si>
    <t>Wall HS to controlled lower (one leg)</t>
  </si>
  <si>
    <t>From wall HS, lower one leg slowly to horizontal and hold 3 sec. Builds single-leg eccentric control.</t>
  </si>
  <si>
    <t>Lunge entry practice</t>
  </si>
  <si>
    <t>Just the lunge step without kicking up. Plant hands, shift weight forward, feel the moment before the kick. Most beginners never isolate this.</t>
  </si>
  <si>
    <t>Kick-up to wall — count steps</t>
  </si>
  <si>
    <t>Same number of approach steps every single rep. Two steps, same foot, same rhythm. Consistency before height.</t>
  </si>
  <si>
    <t>Chest-to-wall freestanding attempt</t>
  </si>
  <si>
    <t>Kick up facing the wall, stop before touching. Forces you to find balance without the wall as a crutch — but it's right there if you need it.</t>
  </si>
  <si>
    <t>Finger pressure hold test</t>
  </si>
  <si>
    <t>3 × 10 sec wall</t>
  </si>
  <si>
    <t>In wall HS, press fingertips so hard the heels of your hands lift slightly off. The single most important drill for learning freestanding balance.</t>
  </si>
  <si>
    <t>level</t>
  </si>
  <si>
    <t>cat0</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</si>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</sst>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9"/>
      <color theme="1"/>
      <name val="Arial"/>
      <family val="2"/>
    </font>
    <font>
      <b/>
      <sz val="9"/>
      <color theme="1"/>
      <name val="Arial"/>
      <family val="2"/>
    </font>
    <font>
      <b/>
      <sz val="9"/>
      <name val="Arial"/>
      <family val="2"/>
    </font>
    <font>
      <sz val="9"/>
      <color rgb="FF111111"/>
      <name val="Arial"/>
      <family val="2"/>
    </font>
    <font>
      <sz val="9"/>
      <color rgb="FF333333"/>
      <name val="Arial"/>
      <family val="2"/>
    </font>
    <font>
      <b/>
      <sz val="9"/>
      <color rgb="FF1A6B3A"/>
      <name val="Arial"/>
      <family val="2"/>
    </font>
    <font>
      <b/>
      <sz val="9"/>
      <color rgb="FF856404"/>
      <name val="Arial"/>
      <family val="2"/>
    </font>
    <font>
      <sz val="9"/>
      <name val="Arial"/>
      <family val="2"/>
    </font>
    <font>
      <b/>
      <sz val="9"/>
      <color rgb="FF8B1A1A"/>
      <name val="Arial"/>
      <family val="2"/>
    </font>
    <font>
      <b/>
      <sz val="9"/>
      <color rgb="FF2E6DA4"/>
      <name val="Arial"/>
      <family val="2"/>
    </font>
    <font>
      <b/>
      <sz val="9"/>
      <color rgb="FF5B2A8C"/>
      <name val="Arial"/>
      <family val="2"/>
    </font>
    <font>
      <b/>
      <sz val="9"/>
      <color theme="2" tint="-0.499984740745262"/>
      <name val="Arial"/>
      <family val="2"/>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1" fillId="0" borderId="0" xfId="0" applyFont="1" applyAlignment="1">
      <alignment vertical="top"/>
    </xf>
    <xf numFmtId="0" fontId="1"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vertical="top" wrapText="1"/>
    </xf>
    <xf numFmtId="0" fontId="5" fillId="0" borderId="1" xfId="0" applyFont="1" applyBorder="1" applyAlignment="1">
      <alignment horizontal="center" vertical="top"/>
    </xf>
    <xf numFmtId="0" fontId="6" fillId="0" borderId="1" xfId="0" applyFont="1" applyBorder="1" applyAlignment="1">
      <alignment horizontal="center" vertical="top"/>
    </xf>
    <xf numFmtId="0" fontId="5" fillId="0" borderId="1" xfId="0" applyFont="1" applyBorder="1" applyAlignment="1">
      <alignment horizontal="left" vertical="top" wrapText="1"/>
    </xf>
    <xf numFmtId="0" fontId="6" fillId="0" borderId="0" xfId="0" applyFont="1" applyAlignment="1">
      <alignment horizontal="center" vertical="top"/>
    </xf>
    <xf numFmtId="0" fontId="7" fillId="0" borderId="1" xfId="0" applyFont="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1" xfId="0" applyFont="1" applyBorder="1" applyAlignment="1">
      <alignment vertical="top" wrapText="1"/>
    </xf>
    <xf numFmtId="0" fontId="5" fillId="0" borderId="0" xfId="0" applyFont="1" applyAlignment="1">
      <alignment horizontal="center" vertical="top"/>
    </xf>
    <xf numFmtId="0" fontId="5" fillId="0" borderId="0" xfId="0" applyFont="1" applyAlignment="1">
      <alignment horizontal="left" vertical="top" wrapText="1"/>
    </xf>
    <xf numFmtId="0" fontId="7" fillId="0" borderId="0" xfId="0" applyFont="1" applyAlignment="1">
      <alignment horizontal="center" vertical="top"/>
    </xf>
    <xf numFmtId="0" fontId="12" fillId="0" borderId="1" xfId="0" applyFont="1" applyBorder="1" applyAlignment="1">
      <alignment horizontal="center"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1" fillId="0" borderId="0" xfId="0" quotePrefix="1" applyFont="1" applyAlignment="1">
      <alignment vertical="top"/>
    </xf>
    <xf numFmtId="0" fontId="9" fillId="0" borderId="0" xfId="0" applyFont="1" applyAlignment="1">
      <alignment horizontal="center" vertical="top"/>
    </xf>
    <xf numFmtId="0" fontId="11" fillId="0" borderId="1" xfId="0" applyFont="1" applyBorder="1" applyAlignment="1">
      <alignment horizontal="center" vertical="top"/>
    </xf>
    <xf numFmtId="0" fontId="11" fillId="0" borderId="0" xfId="0" applyFont="1" applyAlignment="1">
      <alignment horizontal="center" vertical="top"/>
    </xf>
    <xf numFmtId="0" fontId="3" fillId="0" borderId="0" xfId="0" applyFont="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2">
    <dxf>
      <font>
        <color theme="1"/>
      </font>
      <fill>
        <patternFill>
          <bgColor theme="4" tint="0.79998168889431442"/>
        </patternFill>
      </fill>
    </dxf>
    <dxf>
      <font>
        <color theme="0"/>
      </font>
      <fill>
        <patternFill>
          <bgColor theme="3"/>
        </patternFill>
      </fill>
    </dxf>
  </dxfs>
  <tableStyles count="0" defaultTableStyle="TableStyleMedium9" defaultPivotStyle="PivotStyleLight16"/>
  <colors>
    <mruColors>
      <color rgb="FF1A6B3A"/>
      <color rgb="FF8564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6DA4"/>
  </sheetPr>
  <dimension ref="A1:K330"/>
  <sheetViews>
    <sheetView showGridLines="0" tabSelected="1" topLeftCell="E285" workbookViewId="0">
      <selection activeCell="L221" sqref="L221"/>
    </sheetView>
  </sheetViews>
  <sheetFormatPr defaultRowHeight="12" x14ac:dyDescent="0.25"/>
  <cols>
    <col min="1" max="3" width="9.140625" style="1" hidden="1" customWidth="1"/>
    <col min="4" max="4" width="5.28515625" style="1" hidden="1" customWidth="1"/>
    <col min="5" max="5" width="26.42578125" style="4" customWidth="1"/>
    <col min="6" max="6" width="19.5703125" style="2" customWidth="1"/>
    <col min="7" max="7" width="14" style="3" customWidth="1"/>
    <col min="8" max="8" width="73.140625" style="4" customWidth="1"/>
    <col min="9" max="16384" width="9.140625" style="1"/>
  </cols>
  <sheetData>
    <row r="1" spans="1:8" x14ac:dyDescent="0.25">
      <c r="A1" s="1" t="s">
        <v>659</v>
      </c>
      <c r="B1" s="1" t="s">
        <v>658</v>
      </c>
      <c r="C1" s="1" t="s">
        <v>660</v>
      </c>
      <c r="D1" s="1">
        <v>2</v>
      </c>
      <c r="E1" s="23" t="s">
        <v>598</v>
      </c>
    </row>
    <row r="2" spans="1:8" x14ac:dyDescent="0.25">
      <c r="A2" s="1">
        <v>1</v>
      </c>
      <c r="B2" s="1">
        <v>1</v>
      </c>
      <c r="C2" s="1">
        <v>1</v>
      </c>
      <c r="D2" s="1">
        <f t="shared" ref="D2:D7" si="0">IF(E2="",0,IF(E1="",2,1))</f>
        <v>1</v>
      </c>
      <c r="E2" s="24" t="s">
        <v>0</v>
      </c>
      <c r="F2" s="5" t="s">
        <v>1</v>
      </c>
      <c r="G2" s="6" t="s">
        <v>2</v>
      </c>
      <c r="H2" s="7" t="s">
        <v>3</v>
      </c>
    </row>
    <row r="3" spans="1:8" x14ac:dyDescent="0.25">
      <c r="A3" s="1">
        <v>1</v>
      </c>
      <c r="B3" s="1">
        <v>1</v>
      </c>
      <c r="C3" s="1">
        <v>2</v>
      </c>
      <c r="D3" s="1">
        <f t="shared" si="0"/>
        <v>1</v>
      </c>
      <c r="E3" s="24" t="s">
        <v>4</v>
      </c>
      <c r="F3" s="5" t="s">
        <v>5</v>
      </c>
      <c r="G3" s="6" t="s">
        <v>2</v>
      </c>
      <c r="H3" s="7" t="s">
        <v>6</v>
      </c>
    </row>
    <row r="4" spans="1:8" x14ac:dyDescent="0.25">
      <c r="A4" s="1">
        <v>1</v>
      </c>
      <c r="B4" s="1">
        <v>1</v>
      </c>
      <c r="C4" s="1">
        <v>3</v>
      </c>
      <c r="D4" s="1">
        <f t="shared" si="0"/>
        <v>1</v>
      </c>
      <c r="E4" s="24" t="s">
        <v>7</v>
      </c>
      <c r="F4" s="5" t="s">
        <v>8</v>
      </c>
      <c r="G4" s="6" t="s">
        <v>2</v>
      </c>
      <c r="H4" s="7" t="s">
        <v>9</v>
      </c>
    </row>
    <row r="5" spans="1:8" x14ac:dyDescent="0.25">
      <c r="A5" s="1">
        <v>1</v>
      </c>
      <c r="B5" s="1">
        <v>1</v>
      </c>
      <c r="C5" s="1">
        <v>4</v>
      </c>
      <c r="D5" s="1">
        <f t="shared" si="0"/>
        <v>1</v>
      </c>
      <c r="E5" s="24" t="s">
        <v>10</v>
      </c>
      <c r="F5" s="5" t="s">
        <v>11</v>
      </c>
      <c r="G5" s="6" t="s">
        <v>2</v>
      </c>
      <c r="H5" s="7" t="s">
        <v>12</v>
      </c>
    </row>
    <row r="6" spans="1:8" x14ac:dyDescent="0.25">
      <c r="A6" s="1">
        <v>1</v>
      </c>
      <c r="B6" s="1">
        <v>1</v>
      </c>
      <c r="C6" s="1">
        <v>5</v>
      </c>
      <c r="D6" s="1">
        <f t="shared" si="0"/>
        <v>1</v>
      </c>
      <c r="E6" s="24" t="s">
        <v>16</v>
      </c>
      <c r="F6" s="5" t="s">
        <v>17</v>
      </c>
      <c r="G6" s="6" t="s">
        <v>2</v>
      </c>
      <c r="H6" s="7" t="s">
        <v>18</v>
      </c>
    </row>
    <row r="7" spans="1:8" ht="24" x14ac:dyDescent="0.25">
      <c r="A7" s="1">
        <v>1</v>
      </c>
      <c r="B7" s="1">
        <v>1</v>
      </c>
      <c r="C7" s="1">
        <v>6</v>
      </c>
      <c r="D7" s="1">
        <f t="shared" si="0"/>
        <v>1</v>
      </c>
      <c r="E7" s="24" t="s">
        <v>19</v>
      </c>
      <c r="F7" s="5" t="s">
        <v>20</v>
      </c>
      <c r="G7" s="6" t="s">
        <v>2</v>
      </c>
      <c r="H7" s="7" t="s">
        <v>21</v>
      </c>
    </row>
    <row r="8" spans="1:8" x14ac:dyDescent="0.25">
      <c r="A8" s="1">
        <v>1</v>
      </c>
      <c r="B8" s="1">
        <v>1</v>
      </c>
      <c r="C8" s="1">
        <v>7</v>
      </c>
      <c r="D8" s="1">
        <f t="shared" ref="D8:D14" si="1">IF(E8="",0,IF(E7="",2,1))</f>
        <v>1</v>
      </c>
      <c r="E8" s="24" t="s">
        <v>24</v>
      </c>
      <c r="F8" s="5" t="s">
        <v>17</v>
      </c>
      <c r="G8" s="6" t="s">
        <v>2</v>
      </c>
      <c r="H8" s="7" t="s">
        <v>25</v>
      </c>
    </row>
    <row r="9" spans="1:8" x14ac:dyDescent="0.25">
      <c r="A9" s="1">
        <v>1</v>
      </c>
      <c r="B9" s="1">
        <v>1</v>
      </c>
      <c r="C9" s="1">
        <v>8</v>
      </c>
      <c r="D9" s="1">
        <f t="shared" si="1"/>
        <v>1</v>
      </c>
      <c r="E9" s="24" t="s">
        <v>26</v>
      </c>
      <c r="F9" s="5" t="s">
        <v>8</v>
      </c>
      <c r="G9" s="6" t="s">
        <v>2</v>
      </c>
      <c r="H9" s="7" t="s">
        <v>27</v>
      </c>
    </row>
    <row r="10" spans="1:8" ht="24" x14ac:dyDescent="0.25">
      <c r="A10" s="1">
        <v>1</v>
      </c>
      <c r="B10" s="1">
        <v>1</v>
      </c>
      <c r="C10" s="1">
        <v>9</v>
      </c>
      <c r="D10" s="1">
        <f t="shared" si="1"/>
        <v>1</v>
      </c>
      <c r="E10" s="24" t="s">
        <v>620</v>
      </c>
      <c r="F10" s="2" t="s">
        <v>121</v>
      </c>
      <c r="G10" s="8" t="s">
        <v>2</v>
      </c>
      <c r="H10" s="4" t="s">
        <v>621</v>
      </c>
    </row>
    <row r="11" spans="1:8" ht="24" x14ac:dyDescent="0.25">
      <c r="A11" s="1">
        <v>1</v>
      </c>
      <c r="B11" s="1">
        <v>1</v>
      </c>
      <c r="C11" s="1">
        <v>10</v>
      </c>
      <c r="D11" s="1">
        <f t="shared" si="1"/>
        <v>1</v>
      </c>
      <c r="E11" s="24" t="s">
        <v>622</v>
      </c>
      <c r="F11" s="2" t="s">
        <v>88</v>
      </c>
      <c r="G11" s="8" t="s">
        <v>2</v>
      </c>
      <c r="H11" s="4" t="s">
        <v>623</v>
      </c>
    </row>
    <row r="12" spans="1:8" ht="24" x14ac:dyDescent="0.25">
      <c r="A12" s="1">
        <v>1</v>
      </c>
      <c r="B12" s="1">
        <v>1</v>
      </c>
      <c r="C12" s="1">
        <v>11</v>
      </c>
      <c r="D12" s="1">
        <f t="shared" si="1"/>
        <v>1</v>
      </c>
      <c r="E12" s="24" t="s">
        <v>624</v>
      </c>
      <c r="F12" s="2" t="s">
        <v>17</v>
      </c>
      <c r="G12" s="8" t="s">
        <v>2</v>
      </c>
      <c r="H12" s="4" t="s">
        <v>625</v>
      </c>
    </row>
    <row r="13" spans="1:8" ht="24" x14ac:dyDescent="0.25">
      <c r="A13" s="1">
        <v>1</v>
      </c>
      <c r="B13" s="1">
        <v>1</v>
      </c>
      <c r="C13" s="1">
        <v>12</v>
      </c>
      <c r="D13" s="1">
        <f t="shared" si="1"/>
        <v>1</v>
      </c>
      <c r="E13" s="24" t="s">
        <v>626</v>
      </c>
      <c r="F13" s="2" t="s">
        <v>17</v>
      </c>
      <c r="G13" s="8" t="s">
        <v>2</v>
      </c>
      <c r="H13" s="4" t="s">
        <v>627</v>
      </c>
    </row>
    <row r="14" spans="1:8" x14ac:dyDescent="0.25">
      <c r="A14" s="1">
        <v>1</v>
      </c>
      <c r="B14" s="1">
        <v>2</v>
      </c>
      <c r="C14" s="1">
        <v>13</v>
      </c>
      <c r="D14" s="1">
        <f t="shared" si="1"/>
        <v>1</v>
      </c>
      <c r="E14" s="24" t="s">
        <v>13</v>
      </c>
      <c r="F14" s="5" t="s">
        <v>11</v>
      </c>
      <c r="G14" s="9" t="s">
        <v>14</v>
      </c>
      <c r="H14" s="7" t="s">
        <v>15</v>
      </c>
    </row>
    <row r="15" spans="1:8" x14ac:dyDescent="0.25">
      <c r="A15" s="1">
        <v>1</v>
      </c>
      <c r="B15" s="1">
        <v>2</v>
      </c>
      <c r="C15" s="1">
        <v>14</v>
      </c>
      <c r="D15" s="1">
        <f t="shared" ref="D15:D37" si="2">IF(E15="",0,IF(E14="",2,1))</f>
        <v>1</v>
      </c>
      <c r="E15" s="24" t="s">
        <v>22</v>
      </c>
      <c r="F15" s="5" t="s">
        <v>11</v>
      </c>
      <c r="G15" s="9" t="s">
        <v>14</v>
      </c>
      <c r="H15" s="7" t="s">
        <v>23</v>
      </c>
    </row>
    <row r="16" spans="1:8" x14ac:dyDescent="0.25">
      <c r="A16" s="1">
        <v>1</v>
      </c>
      <c r="B16" s="1">
        <v>2</v>
      </c>
      <c r="C16" s="1">
        <v>15</v>
      </c>
      <c r="D16" s="1">
        <f t="shared" si="2"/>
        <v>1</v>
      </c>
      <c r="E16" s="24" t="s">
        <v>28</v>
      </c>
      <c r="F16" s="5" t="s">
        <v>29</v>
      </c>
      <c r="G16" s="9" t="s">
        <v>14</v>
      </c>
      <c r="H16" s="7" t="s">
        <v>30</v>
      </c>
    </row>
    <row r="17" spans="1:8" x14ac:dyDescent="0.25">
      <c r="A17" s="1">
        <v>1</v>
      </c>
      <c r="C17" s="1">
        <v>16</v>
      </c>
      <c r="D17" s="1">
        <f t="shared" si="2"/>
        <v>0</v>
      </c>
      <c r="E17" s="12"/>
      <c r="F17" s="10"/>
      <c r="G17" s="11"/>
      <c r="H17" s="12"/>
    </row>
    <row r="18" spans="1:8" x14ac:dyDescent="0.25">
      <c r="A18" s="1">
        <v>2</v>
      </c>
      <c r="B18" s="1" t="s">
        <v>619</v>
      </c>
      <c r="C18" s="1">
        <v>17</v>
      </c>
      <c r="D18" s="1">
        <f t="shared" si="2"/>
        <v>2</v>
      </c>
      <c r="E18" s="23" t="s">
        <v>599</v>
      </c>
    </row>
    <row r="19" spans="1:8" x14ac:dyDescent="0.25">
      <c r="A19" s="1">
        <v>2</v>
      </c>
      <c r="B19" s="1">
        <v>1</v>
      </c>
      <c r="C19" s="1">
        <v>18</v>
      </c>
      <c r="D19" s="1">
        <f t="shared" si="2"/>
        <v>1</v>
      </c>
      <c r="E19" s="24" t="s">
        <v>31</v>
      </c>
      <c r="F19" s="5" t="s">
        <v>32</v>
      </c>
      <c r="G19" s="6" t="s">
        <v>2</v>
      </c>
      <c r="H19" s="7" t="s">
        <v>33</v>
      </c>
    </row>
    <row r="20" spans="1:8" x14ac:dyDescent="0.25">
      <c r="A20" s="1">
        <v>2</v>
      </c>
      <c r="B20" s="1">
        <v>1</v>
      </c>
      <c r="C20" s="1">
        <v>19</v>
      </c>
      <c r="D20" s="1">
        <f t="shared" si="2"/>
        <v>1</v>
      </c>
      <c r="E20" s="24" t="s">
        <v>34</v>
      </c>
      <c r="F20" s="5" t="s">
        <v>35</v>
      </c>
      <c r="G20" s="6" t="s">
        <v>2</v>
      </c>
      <c r="H20" s="7" t="s">
        <v>36</v>
      </c>
    </row>
    <row r="21" spans="1:8" x14ac:dyDescent="0.25">
      <c r="A21" s="1">
        <v>2</v>
      </c>
      <c r="B21" s="1">
        <v>1</v>
      </c>
      <c r="C21" s="1">
        <v>20</v>
      </c>
      <c r="D21" s="1">
        <f t="shared" si="2"/>
        <v>1</v>
      </c>
      <c r="E21" s="24" t="s">
        <v>37</v>
      </c>
      <c r="F21" s="5" t="s">
        <v>35</v>
      </c>
      <c r="G21" s="6" t="s">
        <v>2</v>
      </c>
      <c r="H21" s="7" t="s">
        <v>38</v>
      </c>
    </row>
    <row r="22" spans="1:8" x14ac:dyDescent="0.25">
      <c r="A22" s="1">
        <v>2</v>
      </c>
      <c r="B22" s="1">
        <v>1</v>
      </c>
      <c r="C22" s="1">
        <v>21</v>
      </c>
      <c r="D22" s="1">
        <f t="shared" si="2"/>
        <v>1</v>
      </c>
      <c r="E22" s="24" t="s">
        <v>39</v>
      </c>
      <c r="F22" s="5" t="s">
        <v>35</v>
      </c>
      <c r="G22" s="6" t="s">
        <v>2</v>
      </c>
      <c r="H22" s="7" t="s">
        <v>40</v>
      </c>
    </row>
    <row r="23" spans="1:8" x14ac:dyDescent="0.25">
      <c r="A23" s="1">
        <v>2</v>
      </c>
      <c r="B23" s="1">
        <v>1</v>
      </c>
      <c r="C23" s="1">
        <v>22</v>
      </c>
      <c r="D23" s="1">
        <f t="shared" si="2"/>
        <v>1</v>
      </c>
      <c r="E23" s="24" t="s">
        <v>41</v>
      </c>
      <c r="F23" s="5" t="s">
        <v>42</v>
      </c>
      <c r="G23" s="6" t="s">
        <v>2</v>
      </c>
      <c r="H23" s="7" t="s">
        <v>43</v>
      </c>
    </row>
    <row r="24" spans="1:8" x14ac:dyDescent="0.25">
      <c r="A24" s="1">
        <v>2</v>
      </c>
      <c r="B24" s="1">
        <v>1</v>
      </c>
      <c r="C24" s="1">
        <v>23</v>
      </c>
      <c r="D24" s="1">
        <f t="shared" si="2"/>
        <v>1</v>
      </c>
      <c r="E24" s="24" t="s">
        <v>44</v>
      </c>
      <c r="F24" s="5" t="s">
        <v>45</v>
      </c>
      <c r="G24" s="6" t="s">
        <v>2</v>
      </c>
      <c r="H24" s="7" t="s">
        <v>46</v>
      </c>
    </row>
    <row r="25" spans="1:8" x14ac:dyDescent="0.25">
      <c r="A25" s="1">
        <v>2</v>
      </c>
      <c r="B25" s="1">
        <v>1</v>
      </c>
      <c r="C25" s="1">
        <v>24</v>
      </c>
      <c r="D25" s="1">
        <f t="shared" si="2"/>
        <v>1</v>
      </c>
      <c r="E25" s="24" t="s">
        <v>47</v>
      </c>
      <c r="F25" s="5" t="s">
        <v>48</v>
      </c>
      <c r="G25" s="6" t="s">
        <v>2</v>
      </c>
      <c r="H25" s="7" t="s">
        <v>49</v>
      </c>
    </row>
    <row r="26" spans="1:8" x14ac:dyDescent="0.25">
      <c r="A26" s="1">
        <v>2</v>
      </c>
      <c r="B26" s="1">
        <v>1</v>
      </c>
      <c r="C26" s="1">
        <v>25</v>
      </c>
      <c r="D26" s="1">
        <f t="shared" si="2"/>
        <v>1</v>
      </c>
      <c r="E26" s="24" t="s">
        <v>50</v>
      </c>
      <c r="F26" s="5" t="s">
        <v>45</v>
      </c>
      <c r="G26" s="6" t="s">
        <v>2</v>
      </c>
      <c r="H26" s="7" t="s">
        <v>51</v>
      </c>
    </row>
    <row r="27" spans="1:8" x14ac:dyDescent="0.25">
      <c r="A27" s="1">
        <v>2</v>
      </c>
      <c r="B27" s="1">
        <v>1</v>
      </c>
      <c r="C27" s="1">
        <v>26</v>
      </c>
      <c r="D27" s="1">
        <f t="shared" si="2"/>
        <v>1</v>
      </c>
      <c r="E27" s="24" t="s">
        <v>52</v>
      </c>
      <c r="F27" s="5" t="s">
        <v>8</v>
      </c>
      <c r="G27" s="6" t="s">
        <v>2</v>
      </c>
      <c r="H27" s="7" t="s">
        <v>53</v>
      </c>
    </row>
    <row r="28" spans="1:8" x14ac:dyDescent="0.25">
      <c r="A28" s="1">
        <v>2</v>
      </c>
      <c r="B28" s="1">
        <v>1</v>
      </c>
      <c r="C28" s="1">
        <v>27</v>
      </c>
      <c r="D28" s="1">
        <f t="shared" si="2"/>
        <v>1</v>
      </c>
      <c r="E28" s="24" t="s">
        <v>54</v>
      </c>
      <c r="F28" s="5" t="s">
        <v>55</v>
      </c>
      <c r="G28" s="6" t="s">
        <v>2</v>
      </c>
      <c r="H28" s="7" t="s">
        <v>56</v>
      </c>
    </row>
    <row r="29" spans="1:8" x14ac:dyDescent="0.25">
      <c r="A29" s="1">
        <v>2</v>
      </c>
      <c r="B29" s="1">
        <v>1</v>
      </c>
      <c r="C29" s="1">
        <v>28</v>
      </c>
      <c r="D29" s="1">
        <f t="shared" si="2"/>
        <v>1</v>
      </c>
      <c r="E29" s="24" t="s">
        <v>57</v>
      </c>
      <c r="F29" s="5" t="s">
        <v>17</v>
      </c>
      <c r="G29" s="6" t="s">
        <v>2</v>
      </c>
      <c r="H29" s="7" t="s">
        <v>58</v>
      </c>
    </row>
    <row r="30" spans="1:8" x14ac:dyDescent="0.25">
      <c r="A30" s="1">
        <v>2</v>
      </c>
      <c r="B30" s="1">
        <v>1</v>
      </c>
      <c r="C30" s="1">
        <v>29</v>
      </c>
      <c r="D30" s="1">
        <f t="shared" si="2"/>
        <v>1</v>
      </c>
      <c r="E30" s="24" t="s">
        <v>59</v>
      </c>
      <c r="F30" s="5" t="s">
        <v>17</v>
      </c>
      <c r="G30" s="6" t="s">
        <v>2</v>
      </c>
      <c r="H30" s="7" t="s">
        <v>60</v>
      </c>
    </row>
    <row r="31" spans="1:8" x14ac:dyDescent="0.25">
      <c r="A31" s="1">
        <v>2</v>
      </c>
      <c r="B31" s="1">
        <v>1</v>
      </c>
      <c r="C31" s="1">
        <v>30</v>
      </c>
      <c r="D31" s="1">
        <f t="shared" si="2"/>
        <v>1</v>
      </c>
      <c r="E31" s="24" t="s">
        <v>61</v>
      </c>
      <c r="F31" s="5" t="s">
        <v>45</v>
      </c>
      <c r="G31" s="6" t="s">
        <v>2</v>
      </c>
      <c r="H31" s="7" t="s">
        <v>62</v>
      </c>
    </row>
    <row r="32" spans="1:8" x14ac:dyDescent="0.25">
      <c r="A32" s="1">
        <v>2</v>
      </c>
      <c r="B32" s="1">
        <v>2</v>
      </c>
      <c r="C32" s="1">
        <v>31</v>
      </c>
      <c r="D32" s="1">
        <f t="shared" si="2"/>
        <v>1</v>
      </c>
      <c r="E32" s="24" t="s">
        <v>63</v>
      </c>
      <c r="F32" s="5" t="s">
        <v>17</v>
      </c>
      <c r="G32" s="9" t="s">
        <v>14</v>
      </c>
      <c r="H32" s="7" t="s">
        <v>64</v>
      </c>
    </row>
    <row r="33" spans="1:8" x14ac:dyDescent="0.25">
      <c r="A33" s="1">
        <v>2</v>
      </c>
      <c r="B33" s="1">
        <v>2</v>
      </c>
      <c r="C33" s="1">
        <v>32</v>
      </c>
      <c r="D33" s="1">
        <f t="shared" si="2"/>
        <v>1</v>
      </c>
      <c r="E33" s="24" t="s">
        <v>65</v>
      </c>
      <c r="F33" s="5" t="s">
        <v>66</v>
      </c>
      <c r="G33" s="9" t="s">
        <v>14</v>
      </c>
      <c r="H33" s="7" t="s">
        <v>67</v>
      </c>
    </row>
    <row r="34" spans="1:8" x14ac:dyDescent="0.25">
      <c r="A34" s="1">
        <v>2</v>
      </c>
      <c r="B34" s="1">
        <v>2</v>
      </c>
      <c r="C34" s="1">
        <v>33</v>
      </c>
      <c r="D34" s="1">
        <f t="shared" si="2"/>
        <v>1</v>
      </c>
      <c r="E34" s="24" t="s">
        <v>68</v>
      </c>
      <c r="F34" s="5" t="s">
        <v>11</v>
      </c>
      <c r="G34" s="9" t="s">
        <v>14</v>
      </c>
      <c r="H34" s="7" t="s">
        <v>69</v>
      </c>
    </row>
    <row r="35" spans="1:8" x14ac:dyDescent="0.25">
      <c r="A35" s="1">
        <v>2</v>
      </c>
      <c r="B35" s="1">
        <v>2</v>
      </c>
      <c r="C35" s="1">
        <v>34</v>
      </c>
      <c r="D35" s="1">
        <f t="shared" si="2"/>
        <v>1</v>
      </c>
      <c r="E35" s="24" t="s">
        <v>70</v>
      </c>
      <c r="F35" s="5" t="s">
        <v>35</v>
      </c>
      <c r="G35" s="9" t="s">
        <v>14</v>
      </c>
      <c r="H35" s="7" t="s">
        <v>71</v>
      </c>
    </row>
    <row r="36" spans="1:8" ht="32.25" customHeight="1" x14ac:dyDescent="0.25">
      <c r="A36" s="1">
        <v>2</v>
      </c>
      <c r="B36" s="1" t="s">
        <v>619</v>
      </c>
      <c r="C36" s="1">
        <v>35</v>
      </c>
      <c r="D36" s="1">
        <f t="shared" si="2"/>
        <v>0</v>
      </c>
      <c r="E36" s="12"/>
      <c r="F36" s="10"/>
      <c r="G36" s="11"/>
      <c r="H36" s="12"/>
    </row>
    <row r="37" spans="1:8" x14ac:dyDescent="0.25">
      <c r="A37" s="1">
        <v>2</v>
      </c>
      <c r="B37" s="1" t="s">
        <v>619</v>
      </c>
      <c r="C37" s="1">
        <v>36</v>
      </c>
      <c r="D37" s="1">
        <f t="shared" si="2"/>
        <v>2</v>
      </c>
      <c r="E37" s="25" t="s">
        <v>600</v>
      </c>
      <c r="F37" s="10"/>
      <c r="G37" s="11"/>
      <c r="H37" s="12"/>
    </row>
    <row r="38" spans="1:8" ht="24" x14ac:dyDescent="0.25">
      <c r="A38" s="1">
        <v>3</v>
      </c>
      <c r="B38" s="1">
        <v>1</v>
      </c>
      <c r="C38" s="1">
        <v>37</v>
      </c>
      <c r="D38" s="1">
        <v>1</v>
      </c>
      <c r="E38" s="26" t="s">
        <v>628</v>
      </c>
      <c r="F38" s="2" t="s">
        <v>91</v>
      </c>
      <c r="G38" s="8" t="s">
        <v>2</v>
      </c>
      <c r="H38" s="4" t="s">
        <v>629</v>
      </c>
    </row>
    <row r="39" spans="1:8" ht="24" x14ac:dyDescent="0.25">
      <c r="A39" s="1">
        <v>3</v>
      </c>
      <c r="B39" s="1">
        <v>1</v>
      </c>
      <c r="C39" s="1">
        <v>38</v>
      </c>
      <c r="D39" s="1">
        <v>1</v>
      </c>
      <c r="E39" s="26" t="s">
        <v>630</v>
      </c>
      <c r="F39" s="2" t="s">
        <v>91</v>
      </c>
      <c r="G39" s="8" t="s">
        <v>2</v>
      </c>
      <c r="H39" s="4" t="s">
        <v>631</v>
      </c>
    </row>
    <row r="40" spans="1:8" ht="36" x14ac:dyDescent="0.25">
      <c r="A40" s="1">
        <v>3</v>
      </c>
      <c r="B40" s="1">
        <v>1</v>
      </c>
      <c r="C40" s="1">
        <v>40</v>
      </c>
      <c r="D40" s="1">
        <v>1</v>
      </c>
      <c r="E40" s="26" t="s">
        <v>634</v>
      </c>
      <c r="F40" s="2" t="s">
        <v>96</v>
      </c>
      <c r="G40" s="8" t="s">
        <v>2</v>
      </c>
      <c r="H40" s="4" t="s">
        <v>635</v>
      </c>
    </row>
    <row r="41" spans="1:8" ht="24" x14ac:dyDescent="0.25">
      <c r="A41" s="1">
        <v>3</v>
      </c>
      <c r="B41" s="1">
        <v>1</v>
      </c>
      <c r="C41" s="1">
        <v>43</v>
      </c>
      <c r="D41" s="1">
        <f>IF(E41="",0,IF(E33="",2,1))</f>
        <v>1</v>
      </c>
      <c r="E41" s="26" t="s">
        <v>640</v>
      </c>
      <c r="F41" s="2" t="s">
        <v>641</v>
      </c>
      <c r="G41" s="8" t="s">
        <v>2</v>
      </c>
      <c r="H41" s="4" t="s">
        <v>642</v>
      </c>
    </row>
    <row r="42" spans="1:8" x14ac:dyDescent="0.25">
      <c r="A42" s="1">
        <v>3</v>
      </c>
      <c r="B42" s="1">
        <v>1</v>
      </c>
      <c r="C42" s="1">
        <v>44</v>
      </c>
      <c r="D42" s="1">
        <f>IF(E42="",0,IF(E34="",2,1))</f>
        <v>1</v>
      </c>
      <c r="E42" s="26" t="s">
        <v>643</v>
      </c>
      <c r="F42" s="2" t="s">
        <v>91</v>
      </c>
      <c r="G42" s="8" t="s">
        <v>2</v>
      </c>
      <c r="H42" s="4" t="s">
        <v>644</v>
      </c>
    </row>
    <row r="43" spans="1:8" ht="24" x14ac:dyDescent="0.25">
      <c r="A43" s="1">
        <v>3</v>
      </c>
      <c r="B43" s="1">
        <v>1</v>
      </c>
      <c r="C43" s="1">
        <v>45</v>
      </c>
      <c r="D43" s="1">
        <f>IF(E43="",0,IF(E35="",2,1))</f>
        <v>1</v>
      </c>
      <c r="E43" s="26" t="s">
        <v>645</v>
      </c>
      <c r="F43" s="2" t="s">
        <v>121</v>
      </c>
      <c r="G43" s="8" t="s">
        <v>2</v>
      </c>
      <c r="H43" s="4" t="s">
        <v>646</v>
      </c>
    </row>
    <row r="44" spans="1:8" ht="24" x14ac:dyDescent="0.25">
      <c r="A44" s="1">
        <v>3</v>
      </c>
      <c r="B44" s="1">
        <v>1</v>
      </c>
      <c r="C44" s="1">
        <v>46</v>
      </c>
      <c r="D44" s="1">
        <v>1</v>
      </c>
      <c r="E44" s="26" t="s">
        <v>647</v>
      </c>
      <c r="F44" s="2" t="s">
        <v>385</v>
      </c>
      <c r="G44" s="8" t="s">
        <v>2</v>
      </c>
      <c r="H44" s="4" t="s">
        <v>648</v>
      </c>
    </row>
    <row r="45" spans="1:8" ht="24" x14ac:dyDescent="0.25">
      <c r="A45" s="1">
        <v>3</v>
      </c>
      <c r="B45" s="1">
        <v>1</v>
      </c>
      <c r="C45" s="1">
        <v>47</v>
      </c>
      <c r="D45" s="1">
        <f>IF(E45="",0,IF(E37="",2,1))</f>
        <v>1</v>
      </c>
      <c r="E45" s="27" t="s">
        <v>72</v>
      </c>
      <c r="F45" s="13" t="s">
        <v>73</v>
      </c>
      <c r="G45" s="8" t="s">
        <v>2</v>
      </c>
      <c r="H45" s="14" t="s">
        <v>74</v>
      </c>
    </row>
    <row r="46" spans="1:8" x14ac:dyDescent="0.25">
      <c r="A46" s="1">
        <v>3</v>
      </c>
      <c r="B46" s="1">
        <v>1</v>
      </c>
      <c r="C46" s="1">
        <v>48</v>
      </c>
      <c r="D46" s="1">
        <f>IF(E46="",0,IF(E45="",2,1))</f>
        <v>1</v>
      </c>
      <c r="E46" s="24" t="s">
        <v>75</v>
      </c>
      <c r="F46" s="5" t="s">
        <v>73</v>
      </c>
      <c r="G46" s="6" t="s">
        <v>2</v>
      </c>
      <c r="H46" s="7" t="s">
        <v>76</v>
      </c>
    </row>
    <row r="47" spans="1:8" x14ac:dyDescent="0.25">
      <c r="A47" s="1">
        <v>3</v>
      </c>
      <c r="B47" s="1">
        <v>1</v>
      </c>
      <c r="C47" s="1">
        <v>49</v>
      </c>
      <c r="D47" s="1">
        <f>IF(E47="",0,IF(E46="",2,1))</f>
        <v>1</v>
      </c>
      <c r="E47" s="24" t="s">
        <v>77</v>
      </c>
      <c r="F47" s="5" t="s">
        <v>78</v>
      </c>
      <c r="G47" s="6" t="s">
        <v>2</v>
      </c>
      <c r="H47" s="7" t="s">
        <v>79</v>
      </c>
    </row>
    <row r="48" spans="1:8" x14ac:dyDescent="0.25">
      <c r="A48" s="1">
        <v>3</v>
      </c>
      <c r="B48" s="1">
        <v>1</v>
      </c>
      <c r="C48" s="1">
        <v>50</v>
      </c>
      <c r="D48" s="1">
        <f>IF(E48="",0,IF(E47="",2,1))</f>
        <v>1</v>
      </c>
      <c r="E48" s="24" t="s">
        <v>80</v>
      </c>
      <c r="F48" s="5" t="s">
        <v>17</v>
      </c>
      <c r="G48" s="6" t="s">
        <v>2</v>
      </c>
      <c r="H48" s="7" t="s">
        <v>81</v>
      </c>
    </row>
    <row r="49" spans="1:8" x14ac:dyDescent="0.25">
      <c r="A49" s="1">
        <v>3</v>
      </c>
      <c r="B49" s="1">
        <v>1</v>
      </c>
      <c r="C49" s="1">
        <v>51</v>
      </c>
      <c r="D49" s="1">
        <f>IF(E49="",0,IF(E48="",2,1))</f>
        <v>1</v>
      </c>
      <c r="E49" s="24" t="s">
        <v>82</v>
      </c>
      <c r="F49" s="5" t="s">
        <v>11</v>
      </c>
      <c r="G49" s="6" t="s">
        <v>2</v>
      </c>
      <c r="H49" s="7" t="s">
        <v>83</v>
      </c>
    </row>
    <row r="50" spans="1:8" x14ac:dyDescent="0.25">
      <c r="A50" s="1">
        <v>3</v>
      </c>
      <c r="B50" s="1">
        <v>1</v>
      </c>
      <c r="C50" s="1">
        <v>52</v>
      </c>
      <c r="D50" s="1">
        <f>IF(E50="",0,IF(E49="",2,1))</f>
        <v>1</v>
      </c>
      <c r="E50" s="24" t="s">
        <v>84</v>
      </c>
      <c r="F50" s="5" t="s">
        <v>85</v>
      </c>
      <c r="G50" s="6" t="s">
        <v>2</v>
      </c>
      <c r="H50" s="7" t="s">
        <v>86</v>
      </c>
    </row>
    <row r="51" spans="1:8" ht="24" x14ac:dyDescent="0.25">
      <c r="A51" s="1">
        <v>3</v>
      </c>
      <c r="B51" s="1">
        <v>2</v>
      </c>
      <c r="C51" s="1">
        <v>53</v>
      </c>
      <c r="D51" s="1">
        <f t="shared" ref="D51:D53" si="3">IF(E51="",0,IF(E50="",2,1))</f>
        <v>1</v>
      </c>
      <c r="E51" s="26" t="s">
        <v>632</v>
      </c>
      <c r="F51" s="2" t="s">
        <v>91</v>
      </c>
      <c r="G51" s="15" t="s">
        <v>14</v>
      </c>
      <c r="H51" s="4" t="s">
        <v>633</v>
      </c>
    </row>
    <row r="52" spans="1:8" ht="24" x14ac:dyDescent="0.25">
      <c r="A52" s="1">
        <v>3</v>
      </c>
      <c r="B52" s="1">
        <v>2</v>
      </c>
      <c r="C52" s="1">
        <v>54</v>
      </c>
      <c r="D52" s="1">
        <f t="shared" si="3"/>
        <v>1</v>
      </c>
      <c r="E52" s="26" t="s">
        <v>636</v>
      </c>
      <c r="F52" s="2" t="s">
        <v>96</v>
      </c>
      <c r="G52" s="15" t="s">
        <v>14</v>
      </c>
      <c r="H52" s="4" t="s">
        <v>637</v>
      </c>
    </row>
    <row r="53" spans="1:8" ht="24" x14ac:dyDescent="0.25">
      <c r="A53" s="1">
        <v>3</v>
      </c>
      <c r="B53" s="1">
        <v>2</v>
      </c>
      <c r="C53" s="1">
        <v>55</v>
      </c>
      <c r="D53" s="1">
        <f t="shared" si="3"/>
        <v>1</v>
      </c>
      <c r="E53" s="26" t="s">
        <v>638</v>
      </c>
      <c r="F53" s="2" t="s">
        <v>96</v>
      </c>
      <c r="G53" s="15" t="s">
        <v>14</v>
      </c>
      <c r="H53" s="4" t="s">
        <v>639</v>
      </c>
    </row>
    <row r="54" spans="1:8" x14ac:dyDescent="0.25">
      <c r="A54" s="1">
        <v>3</v>
      </c>
      <c r="B54" s="1">
        <v>2</v>
      </c>
      <c r="C54" s="1">
        <v>56</v>
      </c>
      <c r="D54" s="1">
        <f>IF(E54="",0,IF(E50="",2,1))</f>
        <v>1</v>
      </c>
      <c r="E54" s="24" t="s">
        <v>87</v>
      </c>
      <c r="F54" s="5" t="s">
        <v>88</v>
      </c>
      <c r="G54" s="16" t="s">
        <v>14</v>
      </c>
      <c r="H54" s="7" t="s">
        <v>89</v>
      </c>
    </row>
    <row r="55" spans="1:8" x14ac:dyDescent="0.25">
      <c r="A55" s="1">
        <v>3</v>
      </c>
      <c r="B55" s="1">
        <v>2</v>
      </c>
      <c r="C55" s="1">
        <v>57</v>
      </c>
      <c r="D55" s="1">
        <f t="shared" ref="D55:D96" si="4">IF(E55="",0,IF(E54="",2,1))</f>
        <v>1</v>
      </c>
      <c r="E55" s="24" t="s">
        <v>90</v>
      </c>
      <c r="F55" s="5" t="s">
        <v>91</v>
      </c>
      <c r="G55" s="9" t="s">
        <v>14</v>
      </c>
      <c r="H55" s="7" t="s">
        <v>92</v>
      </c>
    </row>
    <row r="56" spans="1:8" x14ac:dyDescent="0.25">
      <c r="A56" s="1">
        <v>3</v>
      </c>
      <c r="B56" s="1">
        <v>2</v>
      </c>
      <c r="C56" s="1">
        <v>58</v>
      </c>
      <c r="D56" s="1">
        <f t="shared" si="4"/>
        <v>1</v>
      </c>
      <c r="E56" s="24" t="s">
        <v>93</v>
      </c>
      <c r="F56" s="5" t="s">
        <v>17</v>
      </c>
      <c r="G56" s="9" t="s">
        <v>14</v>
      </c>
      <c r="H56" s="7" t="s">
        <v>94</v>
      </c>
    </row>
    <row r="57" spans="1:8" x14ac:dyDescent="0.25">
      <c r="A57" s="1">
        <v>3</v>
      </c>
      <c r="B57" s="1">
        <v>2</v>
      </c>
      <c r="C57" s="1">
        <v>59</v>
      </c>
      <c r="D57" s="1">
        <f t="shared" si="4"/>
        <v>1</v>
      </c>
      <c r="E57" s="24" t="s">
        <v>95</v>
      </c>
      <c r="F57" s="5" t="s">
        <v>96</v>
      </c>
      <c r="G57" s="9" t="s">
        <v>14</v>
      </c>
      <c r="H57" s="7" t="s">
        <v>97</v>
      </c>
    </row>
    <row r="58" spans="1:8" x14ac:dyDescent="0.25">
      <c r="A58" s="1">
        <v>3</v>
      </c>
      <c r="B58" s="1">
        <v>2</v>
      </c>
      <c r="C58" s="1">
        <v>60</v>
      </c>
      <c r="D58" s="1">
        <f t="shared" si="4"/>
        <v>1</v>
      </c>
      <c r="E58" s="24" t="s">
        <v>102</v>
      </c>
      <c r="F58" s="5" t="s">
        <v>103</v>
      </c>
      <c r="G58" s="9" t="s">
        <v>14</v>
      </c>
      <c r="H58" s="7" t="s">
        <v>104</v>
      </c>
    </row>
    <row r="59" spans="1:8" x14ac:dyDescent="0.25">
      <c r="A59" s="1">
        <v>3</v>
      </c>
      <c r="B59" s="1">
        <v>2</v>
      </c>
      <c r="C59" s="1">
        <v>61</v>
      </c>
      <c r="D59" s="1">
        <f t="shared" si="4"/>
        <v>1</v>
      </c>
      <c r="E59" s="24" t="s">
        <v>109</v>
      </c>
      <c r="F59" s="5" t="s">
        <v>96</v>
      </c>
      <c r="G59" s="9" t="s">
        <v>14</v>
      </c>
      <c r="H59" s="7" t="s">
        <v>110</v>
      </c>
    </row>
    <row r="60" spans="1:8" x14ac:dyDescent="0.25">
      <c r="A60" s="1">
        <v>3</v>
      </c>
      <c r="B60" s="1">
        <v>2</v>
      </c>
      <c r="C60" s="1">
        <v>62</v>
      </c>
      <c r="D60" s="1">
        <f t="shared" si="4"/>
        <v>1</v>
      </c>
      <c r="E60" s="24" t="s">
        <v>118</v>
      </c>
      <c r="F60" s="5" t="s">
        <v>11</v>
      </c>
      <c r="G60" s="9" t="s">
        <v>14</v>
      </c>
      <c r="H60" s="7" t="s">
        <v>119</v>
      </c>
    </row>
    <row r="61" spans="1:8" x14ac:dyDescent="0.25">
      <c r="A61" s="1">
        <v>3</v>
      </c>
      <c r="B61" s="1">
        <v>3</v>
      </c>
      <c r="C61" s="1">
        <v>63</v>
      </c>
      <c r="D61" s="1">
        <f t="shared" si="4"/>
        <v>1</v>
      </c>
      <c r="E61" s="24" t="s">
        <v>98</v>
      </c>
      <c r="F61" s="5" t="s">
        <v>99</v>
      </c>
      <c r="G61" s="17" t="s">
        <v>100</v>
      </c>
      <c r="H61" s="7" t="s">
        <v>101</v>
      </c>
    </row>
    <row r="62" spans="1:8" x14ac:dyDescent="0.25">
      <c r="A62" s="1">
        <v>3</v>
      </c>
      <c r="B62" s="1">
        <v>3</v>
      </c>
      <c r="C62" s="1">
        <v>64</v>
      </c>
      <c r="D62" s="1">
        <f t="shared" si="4"/>
        <v>1</v>
      </c>
      <c r="E62" s="24" t="s">
        <v>105</v>
      </c>
      <c r="F62" s="5" t="s">
        <v>8</v>
      </c>
      <c r="G62" s="17" t="s">
        <v>100</v>
      </c>
      <c r="H62" s="7" t="s">
        <v>106</v>
      </c>
    </row>
    <row r="63" spans="1:8" x14ac:dyDescent="0.25">
      <c r="A63" s="1">
        <v>3</v>
      </c>
      <c r="B63" s="1">
        <v>3</v>
      </c>
      <c r="C63" s="1">
        <v>65</v>
      </c>
      <c r="D63" s="1">
        <f t="shared" si="4"/>
        <v>1</v>
      </c>
      <c r="E63" s="24" t="s">
        <v>107</v>
      </c>
      <c r="F63" s="5" t="s">
        <v>11</v>
      </c>
      <c r="G63" s="17" t="s">
        <v>100</v>
      </c>
      <c r="H63" s="7" t="s">
        <v>108</v>
      </c>
    </row>
    <row r="64" spans="1:8" x14ac:dyDescent="0.25">
      <c r="A64" s="1">
        <v>3</v>
      </c>
      <c r="B64" s="1">
        <v>3</v>
      </c>
      <c r="C64" s="1">
        <v>66</v>
      </c>
      <c r="D64" s="1">
        <f t="shared" si="4"/>
        <v>1</v>
      </c>
      <c r="E64" s="24" t="s">
        <v>111</v>
      </c>
      <c r="F64" s="5" t="s">
        <v>112</v>
      </c>
      <c r="G64" s="17" t="s">
        <v>100</v>
      </c>
      <c r="H64" s="7" t="s">
        <v>113</v>
      </c>
    </row>
    <row r="65" spans="1:8" x14ac:dyDescent="0.25">
      <c r="A65" s="1">
        <v>3</v>
      </c>
      <c r="B65" s="1">
        <v>3</v>
      </c>
      <c r="C65" s="1">
        <v>67</v>
      </c>
      <c r="D65" s="1">
        <f t="shared" si="4"/>
        <v>1</v>
      </c>
      <c r="E65" s="24" t="s">
        <v>114</v>
      </c>
      <c r="F65" s="5" t="s">
        <v>112</v>
      </c>
      <c r="G65" s="17" t="s">
        <v>100</v>
      </c>
      <c r="H65" s="7" t="s">
        <v>115</v>
      </c>
    </row>
    <row r="66" spans="1:8" x14ac:dyDescent="0.25">
      <c r="A66" s="1">
        <v>3</v>
      </c>
      <c r="B66" s="1">
        <v>3</v>
      </c>
      <c r="C66" s="1">
        <v>68</v>
      </c>
      <c r="D66" s="1">
        <f t="shared" si="4"/>
        <v>1</v>
      </c>
      <c r="E66" s="24" t="s">
        <v>116</v>
      </c>
      <c r="F66" s="5" t="s">
        <v>11</v>
      </c>
      <c r="G66" s="17" t="s">
        <v>100</v>
      </c>
      <c r="H66" s="7" t="s">
        <v>117</v>
      </c>
    </row>
    <row r="67" spans="1:8" x14ac:dyDescent="0.25">
      <c r="A67" s="1">
        <v>3</v>
      </c>
      <c r="B67" s="1" t="s">
        <v>619</v>
      </c>
      <c r="C67" s="1">
        <v>69</v>
      </c>
      <c r="D67" s="1">
        <f t="shared" si="4"/>
        <v>0</v>
      </c>
      <c r="E67" s="12"/>
      <c r="F67" s="10"/>
      <c r="G67" s="11"/>
      <c r="H67" s="12"/>
    </row>
    <row r="68" spans="1:8" ht="24" x14ac:dyDescent="0.25">
      <c r="A68" s="1">
        <v>3</v>
      </c>
      <c r="B68" s="1" t="s">
        <v>619</v>
      </c>
      <c r="C68" s="1">
        <v>70</v>
      </c>
      <c r="D68" s="1">
        <f t="shared" si="4"/>
        <v>2</v>
      </c>
      <c r="E68" s="25" t="s">
        <v>601</v>
      </c>
      <c r="F68" s="10"/>
      <c r="G68" s="11"/>
      <c r="H68" s="12"/>
    </row>
    <row r="69" spans="1:8" x14ac:dyDescent="0.25">
      <c r="A69" s="1">
        <v>4</v>
      </c>
      <c r="B69" s="1">
        <v>0</v>
      </c>
      <c r="C69" s="1">
        <v>71</v>
      </c>
      <c r="D69" s="1">
        <f t="shared" si="4"/>
        <v>1</v>
      </c>
      <c r="E69" s="24" t="s">
        <v>162</v>
      </c>
      <c r="F69" s="5" t="s">
        <v>163</v>
      </c>
      <c r="G69" s="18" t="s">
        <v>164</v>
      </c>
      <c r="H69" s="7" t="s">
        <v>165</v>
      </c>
    </row>
    <row r="70" spans="1:8" x14ac:dyDescent="0.25">
      <c r="A70" s="1">
        <v>4</v>
      </c>
      <c r="B70" s="1">
        <v>1</v>
      </c>
      <c r="C70" s="1">
        <v>72</v>
      </c>
      <c r="D70" s="1">
        <f t="shared" si="4"/>
        <v>1</v>
      </c>
      <c r="E70" s="27" t="s">
        <v>130</v>
      </c>
      <c r="F70" s="13" t="s">
        <v>131</v>
      </c>
      <c r="G70" s="8" t="s">
        <v>2</v>
      </c>
      <c r="H70" s="14" t="s">
        <v>132</v>
      </c>
    </row>
    <row r="71" spans="1:8" x14ac:dyDescent="0.25">
      <c r="A71" s="1">
        <v>4</v>
      </c>
      <c r="B71" s="1">
        <v>1</v>
      </c>
      <c r="C71" s="1">
        <v>73</v>
      </c>
      <c r="D71" s="1">
        <f t="shared" si="4"/>
        <v>1</v>
      </c>
      <c r="E71" s="24" t="s">
        <v>135</v>
      </c>
      <c r="F71" s="5" t="s">
        <v>136</v>
      </c>
      <c r="G71" s="6" t="s">
        <v>2</v>
      </c>
      <c r="H71" s="7" t="s">
        <v>137</v>
      </c>
    </row>
    <row r="72" spans="1:8" ht="24" x14ac:dyDescent="0.25">
      <c r="A72" s="1">
        <v>4</v>
      </c>
      <c r="B72" s="1">
        <v>2</v>
      </c>
      <c r="C72" s="1">
        <v>74</v>
      </c>
      <c r="D72" s="1">
        <f t="shared" si="4"/>
        <v>1</v>
      </c>
      <c r="E72" s="24" t="s">
        <v>120</v>
      </c>
      <c r="F72" s="5" t="s">
        <v>121</v>
      </c>
      <c r="G72" s="9" t="s">
        <v>14</v>
      </c>
      <c r="H72" s="7" t="s">
        <v>122</v>
      </c>
    </row>
    <row r="73" spans="1:8" x14ac:dyDescent="0.25">
      <c r="A73" s="1">
        <v>4</v>
      </c>
      <c r="B73" s="1">
        <v>2</v>
      </c>
      <c r="C73" s="1">
        <v>75</v>
      </c>
      <c r="D73" s="1">
        <f t="shared" si="4"/>
        <v>1</v>
      </c>
      <c r="E73" s="24" t="s">
        <v>123</v>
      </c>
      <c r="F73" s="5" t="s">
        <v>96</v>
      </c>
      <c r="G73" s="9" t="s">
        <v>14</v>
      </c>
      <c r="H73" s="7" t="s">
        <v>124</v>
      </c>
    </row>
    <row r="74" spans="1:8" x14ac:dyDescent="0.25">
      <c r="A74" s="1">
        <v>4</v>
      </c>
      <c r="B74" s="1">
        <v>2</v>
      </c>
      <c r="C74" s="1">
        <v>76</v>
      </c>
      <c r="D74" s="1">
        <f t="shared" si="4"/>
        <v>1</v>
      </c>
      <c r="E74" s="24" t="s">
        <v>125</v>
      </c>
      <c r="F74" s="5" t="s">
        <v>99</v>
      </c>
      <c r="G74" s="9" t="s">
        <v>14</v>
      </c>
      <c r="H74" s="7" t="s">
        <v>126</v>
      </c>
    </row>
    <row r="75" spans="1:8" x14ac:dyDescent="0.25">
      <c r="A75" s="1">
        <v>4</v>
      </c>
      <c r="B75" s="1">
        <v>2</v>
      </c>
      <c r="C75" s="1">
        <v>77</v>
      </c>
      <c r="D75" s="1">
        <f t="shared" si="4"/>
        <v>1</v>
      </c>
      <c r="E75" s="24" t="s">
        <v>127</v>
      </c>
      <c r="F75" s="5" t="s">
        <v>128</v>
      </c>
      <c r="G75" s="9" t="s">
        <v>14</v>
      </c>
      <c r="H75" s="7" t="s">
        <v>129</v>
      </c>
    </row>
    <row r="76" spans="1:8" x14ac:dyDescent="0.25">
      <c r="A76" s="1">
        <v>4</v>
      </c>
      <c r="B76" s="1">
        <v>2</v>
      </c>
      <c r="C76" s="1">
        <v>78</v>
      </c>
      <c r="D76" s="1">
        <f t="shared" si="4"/>
        <v>1</v>
      </c>
      <c r="E76" s="24" t="s">
        <v>133</v>
      </c>
      <c r="F76" s="5" t="s">
        <v>11</v>
      </c>
      <c r="G76" s="9" t="s">
        <v>14</v>
      </c>
      <c r="H76" s="7" t="s">
        <v>134</v>
      </c>
    </row>
    <row r="77" spans="1:8" x14ac:dyDescent="0.25">
      <c r="A77" s="1">
        <v>4</v>
      </c>
      <c r="B77" s="1">
        <v>2</v>
      </c>
      <c r="C77" s="1">
        <v>79</v>
      </c>
      <c r="D77" s="1">
        <f t="shared" si="4"/>
        <v>1</v>
      </c>
      <c r="E77" s="24" t="s">
        <v>138</v>
      </c>
      <c r="F77" s="5" t="s">
        <v>11</v>
      </c>
      <c r="G77" s="9" t="s">
        <v>14</v>
      </c>
      <c r="H77" s="7" t="s">
        <v>139</v>
      </c>
    </row>
    <row r="78" spans="1:8" x14ac:dyDescent="0.25">
      <c r="A78" s="1">
        <v>4</v>
      </c>
      <c r="B78" s="1">
        <v>2</v>
      </c>
      <c r="C78" s="1">
        <v>80</v>
      </c>
      <c r="D78" s="1">
        <f t="shared" si="4"/>
        <v>1</v>
      </c>
      <c r="E78" s="24" t="s">
        <v>140</v>
      </c>
      <c r="F78" s="5" t="s">
        <v>141</v>
      </c>
      <c r="G78" s="9" t="s">
        <v>14</v>
      </c>
      <c r="H78" s="7" t="s">
        <v>142</v>
      </c>
    </row>
    <row r="79" spans="1:8" x14ac:dyDescent="0.25">
      <c r="A79" s="1">
        <v>4</v>
      </c>
      <c r="B79" s="1">
        <v>2</v>
      </c>
      <c r="C79" s="1">
        <v>81</v>
      </c>
      <c r="D79" s="1">
        <f t="shared" si="4"/>
        <v>1</v>
      </c>
      <c r="E79" s="24" t="s">
        <v>143</v>
      </c>
      <c r="F79" s="5" t="s">
        <v>144</v>
      </c>
      <c r="G79" s="9" t="s">
        <v>14</v>
      </c>
      <c r="H79" s="7" t="s">
        <v>145</v>
      </c>
    </row>
    <row r="80" spans="1:8" x14ac:dyDescent="0.25">
      <c r="A80" s="1">
        <v>4</v>
      </c>
      <c r="B80" s="1">
        <v>2</v>
      </c>
      <c r="C80" s="1">
        <v>82</v>
      </c>
      <c r="D80" s="1">
        <f t="shared" si="4"/>
        <v>1</v>
      </c>
      <c r="E80" s="24" t="s">
        <v>146</v>
      </c>
      <c r="F80" s="5" t="s">
        <v>147</v>
      </c>
      <c r="G80" s="9" t="s">
        <v>14</v>
      </c>
      <c r="H80" s="7" t="s">
        <v>148</v>
      </c>
    </row>
    <row r="81" spans="1:8" x14ac:dyDescent="0.25">
      <c r="A81" s="1">
        <v>4</v>
      </c>
      <c r="B81" s="1">
        <v>2</v>
      </c>
      <c r="C81" s="1">
        <v>83</v>
      </c>
      <c r="D81" s="1">
        <f t="shared" si="4"/>
        <v>1</v>
      </c>
      <c r="E81" s="24" t="s">
        <v>149</v>
      </c>
      <c r="F81" s="5" t="s">
        <v>150</v>
      </c>
      <c r="G81" s="9" t="s">
        <v>14</v>
      </c>
      <c r="H81" s="7" t="s">
        <v>151</v>
      </c>
    </row>
    <row r="82" spans="1:8" x14ac:dyDescent="0.25">
      <c r="A82" s="1">
        <v>4</v>
      </c>
      <c r="B82" s="1">
        <v>3</v>
      </c>
      <c r="C82" s="1">
        <v>84</v>
      </c>
      <c r="D82" s="1">
        <f t="shared" si="4"/>
        <v>1</v>
      </c>
      <c r="E82" s="24" t="s">
        <v>152</v>
      </c>
      <c r="F82" s="5" t="s">
        <v>153</v>
      </c>
      <c r="G82" s="17" t="s">
        <v>100</v>
      </c>
      <c r="H82" s="7" t="s">
        <v>154</v>
      </c>
    </row>
    <row r="83" spans="1:8" x14ac:dyDescent="0.25">
      <c r="A83" s="1">
        <v>4</v>
      </c>
      <c r="B83" s="1">
        <v>3</v>
      </c>
      <c r="C83" s="1">
        <v>85</v>
      </c>
      <c r="D83" s="1">
        <f t="shared" si="4"/>
        <v>1</v>
      </c>
      <c r="E83" s="24" t="s">
        <v>155</v>
      </c>
      <c r="F83" s="5" t="s">
        <v>11</v>
      </c>
      <c r="G83" s="17" t="s">
        <v>100</v>
      </c>
      <c r="H83" s="7" t="s">
        <v>156</v>
      </c>
    </row>
    <row r="84" spans="1:8" x14ac:dyDescent="0.25">
      <c r="A84" s="1">
        <v>4</v>
      </c>
      <c r="B84" s="1">
        <v>3</v>
      </c>
      <c r="C84" s="1">
        <v>86</v>
      </c>
      <c r="D84" s="1">
        <f t="shared" si="4"/>
        <v>1</v>
      </c>
      <c r="E84" s="24" t="s">
        <v>157</v>
      </c>
      <c r="F84" s="5" t="s">
        <v>158</v>
      </c>
      <c r="G84" s="17" t="s">
        <v>100</v>
      </c>
      <c r="H84" s="7" t="s">
        <v>159</v>
      </c>
    </row>
    <row r="85" spans="1:8" x14ac:dyDescent="0.25">
      <c r="A85" s="1">
        <v>4</v>
      </c>
      <c r="B85" s="1">
        <v>3</v>
      </c>
      <c r="C85" s="1">
        <v>87</v>
      </c>
      <c r="D85" s="1">
        <f t="shared" si="4"/>
        <v>1</v>
      </c>
      <c r="E85" s="24" t="s">
        <v>160</v>
      </c>
      <c r="F85" s="5" t="s">
        <v>158</v>
      </c>
      <c r="G85" s="17" t="s">
        <v>100</v>
      </c>
      <c r="H85" s="7" t="s">
        <v>161</v>
      </c>
    </row>
    <row r="86" spans="1:8" x14ac:dyDescent="0.25">
      <c r="A86" s="1">
        <v>4</v>
      </c>
      <c r="B86" s="1" t="s">
        <v>619</v>
      </c>
      <c r="C86" s="1">
        <v>88</v>
      </c>
      <c r="D86" s="1">
        <f t="shared" si="4"/>
        <v>0</v>
      </c>
      <c r="E86" s="12"/>
      <c r="F86" s="10"/>
      <c r="G86" s="11"/>
      <c r="H86" s="12"/>
    </row>
    <row r="87" spans="1:8" x14ac:dyDescent="0.25">
      <c r="A87" s="1">
        <v>4</v>
      </c>
      <c r="B87" s="1" t="s">
        <v>619</v>
      </c>
      <c r="C87" s="1">
        <v>89</v>
      </c>
      <c r="D87" s="1">
        <f t="shared" si="4"/>
        <v>2</v>
      </c>
      <c r="E87" s="25" t="s">
        <v>602</v>
      </c>
      <c r="F87" s="10"/>
      <c r="G87" s="11"/>
      <c r="H87" s="12"/>
    </row>
    <row r="88" spans="1:8" x14ac:dyDescent="0.25">
      <c r="A88" s="1">
        <v>5</v>
      </c>
      <c r="B88" s="1">
        <v>1</v>
      </c>
      <c r="C88" s="1">
        <v>90</v>
      </c>
      <c r="D88" s="1">
        <f t="shared" si="4"/>
        <v>1</v>
      </c>
      <c r="E88" s="24" t="s">
        <v>166</v>
      </c>
      <c r="F88" s="5" t="s">
        <v>78</v>
      </c>
      <c r="G88" s="6" t="s">
        <v>2</v>
      </c>
      <c r="H88" s="7" t="s">
        <v>167</v>
      </c>
    </row>
    <row r="89" spans="1:8" x14ac:dyDescent="0.25">
      <c r="A89" s="1">
        <v>5</v>
      </c>
      <c r="B89" s="1">
        <v>1</v>
      </c>
      <c r="C89" s="1">
        <v>91</v>
      </c>
      <c r="D89" s="1">
        <f t="shared" si="4"/>
        <v>1</v>
      </c>
      <c r="E89" s="24" t="s">
        <v>170</v>
      </c>
      <c r="F89" s="5" t="s">
        <v>78</v>
      </c>
      <c r="G89" s="6" t="s">
        <v>2</v>
      </c>
      <c r="H89" s="7" t="s">
        <v>171</v>
      </c>
    </row>
    <row r="90" spans="1:8" x14ac:dyDescent="0.25">
      <c r="A90" s="1">
        <v>5</v>
      </c>
      <c r="B90" s="1">
        <v>1</v>
      </c>
      <c r="C90" s="1">
        <v>92</v>
      </c>
      <c r="D90" s="1">
        <f t="shared" si="4"/>
        <v>1</v>
      </c>
      <c r="E90" s="24" t="s">
        <v>174</v>
      </c>
      <c r="F90" s="5" t="s">
        <v>121</v>
      </c>
      <c r="G90" s="6" t="s">
        <v>2</v>
      </c>
      <c r="H90" s="7" t="s">
        <v>175</v>
      </c>
    </row>
    <row r="91" spans="1:8" x14ac:dyDescent="0.25">
      <c r="A91" s="1">
        <v>5</v>
      </c>
      <c r="B91" s="1">
        <v>1</v>
      </c>
      <c r="C91" s="1">
        <v>93</v>
      </c>
      <c r="D91" s="1">
        <f t="shared" si="4"/>
        <v>1</v>
      </c>
      <c r="E91" s="24" t="s">
        <v>178</v>
      </c>
      <c r="F91" s="5" t="s">
        <v>121</v>
      </c>
      <c r="G91" s="6" t="s">
        <v>2</v>
      </c>
      <c r="H91" s="7" t="s">
        <v>179</v>
      </c>
    </row>
    <row r="92" spans="1:8" x14ac:dyDescent="0.25">
      <c r="A92" s="1">
        <v>5</v>
      </c>
      <c r="B92" s="1">
        <v>1</v>
      </c>
      <c r="C92" s="1">
        <v>94</v>
      </c>
      <c r="D92" s="1">
        <f t="shared" si="4"/>
        <v>1</v>
      </c>
      <c r="E92" s="24" t="s">
        <v>180</v>
      </c>
      <c r="F92" s="5" t="s">
        <v>121</v>
      </c>
      <c r="G92" s="6" t="s">
        <v>2</v>
      </c>
      <c r="H92" s="7" t="s">
        <v>181</v>
      </c>
    </row>
    <row r="93" spans="1:8" x14ac:dyDescent="0.25">
      <c r="A93" s="1">
        <v>5</v>
      </c>
      <c r="B93" s="1">
        <v>1</v>
      </c>
      <c r="C93" s="1">
        <v>95</v>
      </c>
      <c r="D93" s="1">
        <f t="shared" si="4"/>
        <v>1</v>
      </c>
      <c r="E93" s="24" t="s">
        <v>184</v>
      </c>
      <c r="F93" s="5" t="s">
        <v>121</v>
      </c>
      <c r="G93" s="6" t="s">
        <v>2</v>
      </c>
      <c r="H93" s="7" t="s">
        <v>185</v>
      </c>
    </row>
    <row r="94" spans="1:8" x14ac:dyDescent="0.25">
      <c r="A94" s="1">
        <v>5</v>
      </c>
      <c r="B94" s="1">
        <v>1</v>
      </c>
      <c r="C94" s="1">
        <v>96</v>
      </c>
      <c r="D94" s="1">
        <f t="shared" si="4"/>
        <v>1</v>
      </c>
      <c r="E94" s="24" t="s">
        <v>186</v>
      </c>
      <c r="F94" s="5" t="s">
        <v>121</v>
      </c>
      <c r="G94" s="6" t="s">
        <v>2</v>
      </c>
      <c r="H94" s="7" t="s">
        <v>187</v>
      </c>
    </row>
    <row r="95" spans="1:8" x14ac:dyDescent="0.25">
      <c r="A95" s="1">
        <v>5</v>
      </c>
      <c r="B95" s="1">
        <v>1</v>
      </c>
      <c r="C95" s="1">
        <v>97</v>
      </c>
      <c r="D95" s="1">
        <f t="shared" si="4"/>
        <v>1</v>
      </c>
      <c r="E95" s="24" t="s">
        <v>188</v>
      </c>
      <c r="F95" s="5" t="s">
        <v>121</v>
      </c>
      <c r="G95" s="6" t="s">
        <v>2</v>
      </c>
      <c r="H95" s="7" t="s">
        <v>189</v>
      </c>
    </row>
    <row r="96" spans="1:8" x14ac:dyDescent="0.25">
      <c r="A96" s="1">
        <v>5</v>
      </c>
      <c r="B96" s="1">
        <v>1</v>
      </c>
      <c r="C96" s="1">
        <v>98</v>
      </c>
      <c r="D96" s="1">
        <f t="shared" si="4"/>
        <v>1</v>
      </c>
      <c r="E96" s="24" t="s">
        <v>192</v>
      </c>
      <c r="F96" s="5" t="s">
        <v>121</v>
      </c>
      <c r="G96" s="6" t="s">
        <v>2</v>
      </c>
      <c r="H96" s="7" t="s">
        <v>193</v>
      </c>
    </row>
    <row r="97" spans="1:11" ht="24" x14ac:dyDescent="0.25">
      <c r="A97" s="1">
        <v>5</v>
      </c>
      <c r="B97" s="1">
        <v>1</v>
      </c>
      <c r="C97" s="1">
        <v>99</v>
      </c>
      <c r="E97" s="24" t="s">
        <v>649</v>
      </c>
      <c r="F97" s="2" t="s">
        <v>78</v>
      </c>
      <c r="G97" s="8" t="s">
        <v>2</v>
      </c>
      <c r="H97" s="4" t="s">
        <v>650</v>
      </c>
    </row>
    <row r="98" spans="1:11" ht="24" x14ac:dyDescent="0.25">
      <c r="A98" s="1">
        <v>5</v>
      </c>
      <c r="B98" s="1">
        <v>1</v>
      </c>
      <c r="C98" s="1">
        <v>100</v>
      </c>
      <c r="E98" s="24" t="s">
        <v>651</v>
      </c>
      <c r="F98" s="2" t="s">
        <v>121</v>
      </c>
      <c r="G98" s="8" t="s">
        <v>2</v>
      </c>
      <c r="H98" s="4" t="s">
        <v>652</v>
      </c>
    </row>
    <row r="99" spans="1:11" x14ac:dyDescent="0.25">
      <c r="A99" s="1">
        <v>5</v>
      </c>
      <c r="B99" s="1">
        <v>2</v>
      </c>
      <c r="C99" s="1">
        <v>101</v>
      </c>
      <c r="D99" s="1">
        <f>IF(E99="",0,IF(E96="",2,1))</f>
        <v>1</v>
      </c>
      <c r="E99" s="24" t="s">
        <v>168</v>
      </c>
      <c r="F99" s="5" t="s">
        <v>121</v>
      </c>
      <c r="G99" s="9" t="s">
        <v>14</v>
      </c>
      <c r="H99" s="7" t="s">
        <v>169</v>
      </c>
    </row>
    <row r="100" spans="1:11" x14ac:dyDescent="0.25">
      <c r="A100" s="1">
        <v>5</v>
      </c>
      <c r="B100" s="1">
        <v>2</v>
      </c>
      <c r="C100" s="1">
        <v>102</v>
      </c>
      <c r="D100" s="1">
        <f t="shared" ref="D100:D109" si="5">IF(E100="",0,IF(E99="",2,1))</f>
        <v>1</v>
      </c>
      <c r="E100" s="24" t="s">
        <v>172</v>
      </c>
      <c r="F100" s="5" t="s">
        <v>121</v>
      </c>
      <c r="G100" s="9" t="s">
        <v>14</v>
      </c>
      <c r="H100" s="7" t="s">
        <v>173</v>
      </c>
    </row>
    <row r="101" spans="1:11" x14ac:dyDescent="0.25">
      <c r="A101" s="1">
        <v>5</v>
      </c>
      <c r="B101" s="1">
        <v>2</v>
      </c>
      <c r="C101" s="1">
        <v>103</v>
      </c>
      <c r="D101" s="1">
        <f t="shared" si="5"/>
        <v>1</v>
      </c>
      <c r="E101" s="24" t="s">
        <v>176</v>
      </c>
      <c r="F101" s="5" t="s">
        <v>121</v>
      </c>
      <c r="G101" s="9" t="s">
        <v>14</v>
      </c>
      <c r="H101" s="7" t="s">
        <v>177</v>
      </c>
    </row>
    <row r="102" spans="1:11" x14ac:dyDescent="0.25">
      <c r="A102" s="1">
        <v>5</v>
      </c>
      <c r="B102" s="1">
        <v>2</v>
      </c>
      <c r="C102" s="1">
        <v>104</v>
      </c>
      <c r="D102" s="1">
        <f t="shared" si="5"/>
        <v>1</v>
      </c>
      <c r="E102" s="24" t="s">
        <v>182</v>
      </c>
      <c r="F102" s="5" t="s">
        <v>121</v>
      </c>
      <c r="G102" s="9" t="s">
        <v>14</v>
      </c>
      <c r="H102" s="7" t="s">
        <v>183</v>
      </c>
    </row>
    <row r="103" spans="1:11" x14ac:dyDescent="0.25">
      <c r="A103" s="1">
        <v>5</v>
      </c>
      <c r="B103" s="1">
        <v>2</v>
      </c>
      <c r="C103" s="1">
        <v>105</v>
      </c>
      <c r="D103" s="1">
        <f t="shared" si="5"/>
        <v>1</v>
      </c>
      <c r="E103" s="24" t="s">
        <v>190</v>
      </c>
      <c r="F103" s="5" t="s">
        <v>121</v>
      </c>
      <c r="G103" s="9" t="s">
        <v>14</v>
      </c>
      <c r="H103" s="7" t="s">
        <v>191</v>
      </c>
    </row>
    <row r="104" spans="1:11" ht="30" customHeight="1" x14ac:dyDescent="0.25">
      <c r="A104" s="1">
        <v>5</v>
      </c>
      <c r="B104" s="1" t="s">
        <v>619</v>
      </c>
      <c r="C104" s="1">
        <v>106</v>
      </c>
      <c r="D104" s="1">
        <f t="shared" si="5"/>
        <v>0</v>
      </c>
      <c r="E104" s="12"/>
      <c r="F104" s="10"/>
      <c r="G104" s="11"/>
      <c r="H104" s="12"/>
    </row>
    <row r="105" spans="1:11" ht="24" x14ac:dyDescent="0.25">
      <c r="A105" s="1">
        <v>5</v>
      </c>
      <c r="B105" s="1" t="s">
        <v>619</v>
      </c>
      <c r="C105" s="1">
        <v>107</v>
      </c>
      <c r="D105" s="1">
        <f t="shared" si="5"/>
        <v>2</v>
      </c>
      <c r="E105" s="25" t="s">
        <v>603</v>
      </c>
      <c r="F105" s="10"/>
      <c r="G105" s="11"/>
      <c r="H105" s="12"/>
    </row>
    <row r="106" spans="1:11" x14ac:dyDescent="0.25">
      <c r="A106" s="1">
        <v>6</v>
      </c>
      <c r="B106" s="1">
        <v>0</v>
      </c>
      <c r="C106" s="1">
        <v>108</v>
      </c>
      <c r="D106" s="1">
        <f t="shared" si="5"/>
        <v>1</v>
      </c>
      <c r="E106" s="24" t="s">
        <v>227</v>
      </c>
      <c r="F106" s="5" t="s">
        <v>228</v>
      </c>
      <c r="G106" s="18" t="s">
        <v>164</v>
      </c>
      <c r="H106" s="7" t="s">
        <v>229</v>
      </c>
    </row>
    <row r="107" spans="1:11" x14ac:dyDescent="0.25">
      <c r="A107" s="1">
        <v>6</v>
      </c>
      <c r="B107" s="1">
        <v>0</v>
      </c>
      <c r="C107" s="1">
        <v>109</v>
      </c>
      <c r="D107" s="1">
        <f t="shared" si="5"/>
        <v>1</v>
      </c>
      <c r="E107" s="24" t="s">
        <v>239</v>
      </c>
      <c r="F107" s="5" t="s">
        <v>240</v>
      </c>
      <c r="G107" s="18" t="s">
        <v>164</v>
      </c>
      <c r="H107" s="7" t="s">
        <v>241</v>
      </c>
    </row>
    <row r="108" spans="1:11" x14ac:dyDescent="0.25">
      <c r="A108" s="1">
        <v>6</v>
      </c>
      <c r="B108" s="1">
        <v>1</v>
      </c>
      <c r="C108" s="1">
        <v>110</v>
      </c>
      <c r="D108" s="1">
        <f t="shared" si="5"/>
        <v>1</v>
      </c>
      <c r="E108" s="24" t="s">
        <v>206</v>
      </c>
      <c r="F108" s="5" t="s">
        <v>204</v>
      </c>
      <c r="G108" s="6" t="s">
        <v>2</v>
      </c>
      <c r="H108" s="7" t="s">
        <v>207</v>
      </c>
    </row>
    <row r="109" spans="1:11" x14ac:dyDescent="0.25">
      <c r="A109" s="1">
        <v>6</v>
      </c>
      <c r="B109" s="1">
        <v>1</v>
      </c>
      <c r="C109" s="1">
        <v>111</v>
      </c>
      <c r="D109" s="1">
        <f t="shared" si="5"/>
        <v>1</v>
      </c>
      <c r="E109" s="24" t="s">
        <v>218</v>
      </c>
      <c r="F109" s="5" t="s">
        <v>144</v>
      </c>
      <c r="G109" s="6" t="s">
        <v>2</v>
      </c>
      <c r="H109" s="7" t="s">
        <v>219</v>
      </c>
    </row>
    <row r="110" spans="1:11" ht="24" x14ac:dyDescent="0.25">
      <c r="A110" s="1">
        <v>6</v>
      </c>
      <c r="B110" s="1">
        <v>1</v>
      </c>
      <c r="C110" s="1">
        <v>112</v>
      </c>
      <c r="D110" s="1">
        <v>1</v>
      </c>
      <c r="E110" s="27" t="s">
        <v>653</v>
      </c>
      <c r="F110" s="2" t="s">
        <v>144</v>
      </c>
      <c r="G110" s="8" t="s">
        <v>2</v>
      </c>
      <c r="H110" s="4" t="s">
        <v>654</v>
      </c>
      <c r="K110" s="19"/>
    </row>
    <row r="111" spans="1:11" ht="24" x14ac:dyDescent="0.25">
      <c r="A111" s="1">
        <v>6</v>
      </c>
      <c r="B111" s="1">
        <v>1</v>
      </c>
      <c r="C111" s="1">
        <v>113</v>
      </c>
      <c r="D111" s="1">
        <v>1</v>
      </c>
      <c r="E111" s="27" t="s">
        <v>655</v>
      </c>
      <c r="F111" s="2" t="s">
        <v>656</v>
      </c>
      <c r="G111" s="8" t="s">
        <v>2</v>
      </c>
      <c r="H111" s="4" t="s">
        <v>657</v>
      </c>
    </row>
    <row r="112" spans="1:11" ht="24" x14ac:dyDescent="0.25">
      <c r="A112" s="1">
        <v>6</v>
      </c>
      <c r="B112" s="1">
        <v>2</v>
      </c>
      <c r="C112" s="1">
        <v>114</v>
      </c>
      <c r="D112" s="1">
        <f>IF(E112="",0,IF(E109="",2,1))</f>
        <v>1</v>
      </c>
      <c r="E112" s="27" t="s">
        <v>194</v>
      </c>
      <c r="F112" s="13" t="s">
        <v>195</v>
      </c>
      <c r="G112" s="15" t="s">
        <v>14</v>
      </c>
      <c r="H112" s="14" t="s">
        <v>196</v>
      </c>
    </row>
    <row r="113" spans="1:8" x14ac:dyDescent="0.25">
      <c r="A113" s="1">
        <v>6</v>
      </c>
      <c r="B113" s="1">
        <v>2</v>
      </c>
      <c r="C113" s="1">
        <v>115</v>
      </c>
      <c r="D113" s="1">
        <f t="shared" ref="D113:D176" si="6">IF(E113="",0,IF(E112="",2,1))</f>
        <v>1</v>
      </c>
      <c r="E113" s="24" t="s">
        <v>197</v>
      </c>
      <c r="F113" s="5" t="s">
        <v>198</v>
      </c>
      <c r="G113" s="9" t="s">
        <v>14</v>
      </c>
      <c r="H113" s="7" t="s">
        <v>199</v>
      </c>
    </row>
    <row r="114" spans="1:8" x14ac:dyDescent="0.25">
      <c r="A114" s="1">
        <v>6</v>
      </c>
      <c r="B114" s="1">
        <v>2</v>
      </c>
      <c r="C114" s="1">
        <v>116</v>
      </c>
      <c r="D114" s="1">
        <f t="shared" si="6"/>
        <v>1</v>
      </c>
      <c r="E114" s="24" t="s">
        <v>200</v>
      </c>
      <c r="F114" s="5" t="s">
        <v>201</v>
      </c>
      <c r="G114" s="9" t="s">
        <v>14</v>
      </c>
      <c r="H114" s="7" t="s">
        <v>202</v>
      </c>
    </row>
    <row r="115" spans="1:8" x14ac:dyDescent="0.25">
      <c r="A115" s="1">
        <v>6</v>
      </c>
      <c r="B115" s="1">
        <v>2</v>
      </c>
      <c r="C115" s="1">
        <v>117</v>
      </c>
      <c r="D115" s="1">
        <f t="shared" si="6"/>
        <v>1</v>
      </c>
      <c r="E115" s="24" t="s">
        <v>203</v>
      </c>
      <c r="F115" s="5" t="s">
        <v>204</v>
      </c>
      <c r="G115" s="9" t="s">
        <v>14</v>
      </c>
      <c r="H115" s="7" t="s">
        <v>205</v>
      </c>
    </row>
    <row r="116" spans="1:8" x14ac:dyDescent="0.25">
      <c r="A116" s="1">
        <v>6</v>
      </c>
      <c r="B116" s="1">
        <v>2</v>
      </c>
      <c r="C116" s="1">
        <v>118</v>
      </c>
      <c r="D116" s="1">
        <f t="shared" si="6"/>
        <v>1</v>
      </c>
      <c r="E116" s="24" t="s">
        <v>208</v>
      </c>
      <c r="F116" s="5" t="s">
        <v>209</v>
      </c>
      <c r="G116" s="9" t="s">
        <v>14</v>
      </c>
      <c r="H116" s="7" t="s">
        <v>210</v>
      </c>
    </row>
    <row r="117" spans="1:8" x14ac:dyDescent="0.25">
      <c r="A117" s="1">
        <v>6</v>
      </c>
      <c r="B117" s="1">
        <v>2</v>
      </c>
      <c r="C117" s="1">
        <v>119</v>
      </c>
      <c r="D117" s="1">
        <f t="shared" si="6"/>
        <v>1</v>
      </c>
      <c r="E117" s="24" t="s">
        <v>211</v>
      </c>
      <c r="F117" s="5" t="s">
        <v>212</v>
      </c>
      <c r="G117" s="9" t="s">
        <v>14</v>
      </c>
      <c r="H117" s="7" t="s">
        <v>213</v>
      </c>
    </row>
    <row r="118" spans="1:8" x14ac:dyDescent="0.25">
      <c r="A118" s="1">
        <v>6</v>
      </c>
      <c r="B118" s="1">
        <v>2</v>
      </c>
      <c r="C118" s="1">
        <v>120</v>
      </c>
      <c r="D118" s="1">
        <f t="shared" si="6"/>
        <v>1</v>
      </c>
      <c r="E118" s="24" t="s">
        <v>214</v>
      </c>
      <c r="F118" s="5" t="s">
        <v>96</v>
      </c>
      <c r="G118" s="9" t="s">
        <v>14</v>
      </c>
      <c r="H118" s="7" t="s">
        <v>215</v>
      </c>
    </row>
    <row r="119" spans="1:8" x14ac:dyDescent="0.25">
      <c r="A119" s="1">
        <v>6</v>
      </c>
      <c r="B119" s="1">
        <v>2</v>
      </c>
      <c r="C119" s="1">
        <v>121</v>
      </c>
      <c r="D119" s="1">
        <f t="shared" si="6"/>
        <v>1</v>
      </c>
      <c r="E119" s="24" t="s">
        <v>216</v>
      </c>
      <c r="F119" s="5" t="s">
        <v>96</v>
      </c>
      <c r="G119" s="9" t="s">
        <v>14</v>
      </c>
      <c r="H119" s="7" t="s">
        <v>217</v>
      </c>
    </row>
    <row r="120" spans="1:8" x14ac:dyDescent="0.25">
      <c r="A120" s="1">
        <v>6</v>
      </c>
      <c r="B120" s="1">
        <v>2</v>
      </c>
      <c r="C120" s="1">
        <v>122</v>
      </c>
      <c r="D120" s="1">
        <f t="shared" si="6"/>
        <v>1</v>
      </c>
      <c r="E120" s="24" t="s">
        <v>220</v>
      </c>
      <c r="F120" s="5" t="s">
        <v>144</v>
      </c>
      <c r="G120" s="9" t="s">
        <v>14</v>
      </c>
      <c r="H120" s="7" t="s">
        <v>221</v>
      </c>
    </row>
    <row r="121" spans="1:8" x14ac:dyDescent="0.25">
      <c r="A121" s="1">
        <v>6</v>
      </c>
      <c r="B121" s="1">
        <v>2</v>
      </c>
      <c r="C121" s="1">
        <v>123</v>
      </c>
      <c r="D121" s="1">
        <f t="shared" si="6"/>
        <v>1</v>
      </c>
      <c r="E121" s="24" t="s">
        <v>222</v>
      </c>
      <c r="F121" s="5" t="s">
        <v>144</v>
      </c>
      <c r="G121" s="9" t="s">
        <v>14</v>
      </c>
      <c r="H121" s="7" t="s">
        <v>223</v>
      </c>
    </row>
    <row r="122" spans="1:8" x14ac:dyDescent="0.25">
      <c r="A122" s="1">
        <v>6</v>
      </c>
      <c r="B122" s="1">
        <v>2</v>
      </c>
      <c r="C122" s="1">
        <v>124</v>
      </c>
      <c r="D122" s="1">
        <f t="shared" si="6"/>
        <v>1</v>
      </c>
      <c r="E122" s="24" t="s">
        <v>149</v>
      </c>
      <c r="F122" s="5" t="s">
        <v>144</v>
      </c>
      <c r="G122" s="9" t="s">
        <v>14</v>
      </c>
      <c r="H122" s="7" t="s">
        <v>224</v>
      </c>
    </row>
    <row r="123" spans="1:8" x14ac:dyDescent="0.25">
      <c r="A123" s="1">
        <v>6</v>
      </c>
      <c r="B123" s="1">
        <v>2</v>
      </c>
      <c r="C123" s="1">
        <v>125</v>
      </c>
      <c r="D123" s="1">
        <f t="shared" si="6"/>
        <v>1</v>
      </c>
      <c r="E123" s="24" t="s">
        <v>225</v>
      </c>
      <c r="F123" s="5" t="s">
        <v>144</v>
      </c>
      <c r="G123" s="9" t="s">
        <v>14</v>
      </c>
      <c r="H123" s="7" t="s">
        <v>226</v>
      </c>
    </row>
    <row r="124" spans="1:8" x14ac:dyDescent="0.25">
      <c r="A124" s="1">
        <v>6</v>
      </c>
      <c r="B124" s="1">
        <v>2</v>
      </c>
      <c r="C124" s="1">
        <v>126</v>
      </c>
      <c r="D124" s="1">
        <f t="shared" si="6"/>
        <v>1</v>
      </c>
      <c r="E124" s="24" t="s">
        <v>230</v>
      </c>
      <c r="F124" s="5" t="s">
        <v>231</v>
      </c>
      <c r="G124" s="9" t="s">
        <v>14</v>
      </c>
      <c r="H124" s="7" t="s">
        <v>232</v>
      </c>
    </row>
    <row r="125" spans="1:8" x14ac:dyDescent="0.25">
      <c r="A125" s="1">
        <v>6</v>
      </c>
      <c r="B125" s="1">
        <v>2</v>
      </c>
      <c r="C125" s="1">
        <v>127</v>
      </c>
      <c r="D125" s="1">
        <f t="shared" si="6"/>
        <v>1</v>
      </c>
      <c r="E125" s="24" t="s">
        <v>236</v>
      </c>
      <c r="F125" s="5" t="s">
        <v>237</v>
      </c>
      <c r="G125" s="9" t="s">
        <v>14</v>
      </c>
      <c r="H125" s="7" t="s">
        <v>238</v>
      </c>
    </row>
    <row r="126" spans="1:8" x14ac:dyDescent="0.25">
      <c r="A126" s="1">
        <v>6</v>
      </c>
      <c r="B126" s="1">
        <v>3</v>
      </c>
      <c r="C126" s="1">
        <v>128</v>
      </c>
      <c r="D126" s="1">
        <f t="shared" si="6"/>
        <v>1</v>
      </c>
      <c r="E126" s="24" t="s">
        <v>233</v>
      </c>
      <c r="F126" s="5" t="s">
        <v>234</v>
      </c>
      <c r="G126" s="17" t="s">
        <v>100</v>
      </c>
      <c r="H126" s="7" t="s">
        <v>235</v>
      </c>
    </row>
    <row r="127" spans="1:8" x14ac:dyDescent="0.25">
      <c r="A127" s="1">
        <v>6</v>
      </c>
      <c r="B127" s="1" t="s">
        <v>619</v>
      </c>
      <c r="C127" s="1">
        <v>129</v>
      </c>
      <c r="D127" s="1">
        <f t="shared" si="6"/>
        <v>0</v>
      </c>
      <c r="E127" s="12"/>
      <c r="F127" s="10"/>
      <c r="G127" s="11"/>
      <c r="H127" s="12"/>
    </row>
    <row r="128" spans="1:8" x14ac:dyDescent="0.25">
      <c r="A128" s="1">
        <v>6</v>
      </c>
      <c r="B128" s="1" t="s">
        <v>619</v>
      </c>
      <c r="C128" s="1">
        <v>130</v>
      </c>
      <c r="D128" s="1">
        <f t="shared" si="6"/>
        <v>2</v>
      </c>
      <c r="E128" s="25" t="s">
        <v>604</v>
      </c>
      <c r="F128" s="10"/>
      <c r="G128" s="11"/>
      <c r="H128" s="12"/>
    </row>
    <row r="129" spans="1:8" ht="24" x14ac:dyDescent="0.25">
      <c r="A129" s="1">
        <v>7</v>
      </c>
      <c r="B129" s="1">
        <v>1</v>
      </c>
      <c r="C129" s="1">
        <v>131</v>
      </c>
      <c r="D129" s="1">
        <f t="shared" si="6"/>
        <v>1</v>
      </c>
      <c r="E129" s="24" t="s">
        <v>242</v>
      </c>
      <c r="F129" s="5" t="s">
        <v>17</v>
      </c>
      <c r="G129" s="6" t="s">
        <v>2</v>
      </c>
      <c r="H129" s="7" t="s">
        <v>243</v>
      </c>
    </row>
    <row r="130" spans="1:8" x14ac:dyDescent="0.25">
      <c r="A130" s="1">
        <v>7</v>
      </c>
      <c r="B130" s="1">
        <v>1</v>
      </c>
      <c r="C130" s="1">
        <v>132</v>
      </c>
      <c r="D130" s="1">
        <f t="shared" si="6"/>
        <v>1</v>
      </c>
      <c r="E130" s="24" t="s">
        <v>254</v>
      </c>
      <c r="F130" s="5" t="s">
        <v>17</v>
      </c>
      <c r="G130" s="6" t="s">
        <v>2</v>
      </c>
      <c r="H130" s="7" t="s">
        <v>255</v>
      </c>
    </row>
    <row r="131" spans="1:8" x14ac:dyDescent="0.25">
      <c r="A131" s="1">
        <v>7</v>
      </c>
      <c r="B131" s="1">
        <v>1</v>
      </c>
      <c r="C131" s="1">
        <v>133</v>
      </c>
      <c r="D131" s="1">
        <f t="shared" si="6"/>
        <v>1</v>
      </c>
      <c r="E131" s="24" t="s">
        <v>259</v>
      </c>
      <c r="F131" s="5" t="s">
        <v>17</v>
      </c>
      <c r="G131" s="6" t="s">
        <v>2</v>
      </c>
      <c r="H131" s="7" t="s">
        <v>260</v>
      </c>
    </row>
    <row r="132" spans="1:8" x14ac:dyDescent="0.25">
      <c r="A132" s="1">
        <v>7</v>
      </c>
      <c r="B132" s="1">
        <v>1</v>
      </c>
      <c r="C132" s="1">
        <v>134</v>
      </c>
      <c r="D132" s="1">
        <f t="shared" si="6"/>
        <v>1</v>
      </c>
      <c r="E132" s="24" t="s">
        <v>261</v>
      </c>
      <c r="F132" s="5" t="s">
        <v>17</v>
      </c>
      <c r="G132" s="6" t="s">
        <v>2</v>
      </c>
      <c r="H132" s="7" t="s">
        <v>262</v>
      </c>
    </row>
    <row r="133" spans="1:8" x14ac:dyDescent="0.25">
      <c r="A133" s="1">
        <v>7</v>
      </c>
      <c r="B133" s="1">
        <v>1</v>
      </c>
      <c r="C133" s="1">
        <v>135</v>
      </c>
      <c r="D133" s="1">
        <f t="shared" si="6"/>
        <v>1</v>
      </c>
      <c r="E133" s="24" t="s">
        <v>263</v>
      </c>
      <c r="F133" s="5" t="s">
        <v>264</v>
      </c>
      <c r="G133" s="6" t="s">
        <v>2</v>
      </c>
      <c r="H133" s="7" t="s">
        <v>265</v>
      </c>
    </row>
    <row r="134" spans="1:8" x14ac:dyDescent="0.25">
      <c r="A134" s="1">
        <v>7</v>
      </c>
      <c r="B134" s="1">
        <v>1</v>
      </c>
      <c r="C134" s="1">
        <v>136</v>
      </c>
      <c r="D134" s="1">
        <f t="shared" si="6"/>
        <v>1</v>
      </c>
      <c r="E134" s="24" t="s">
        <v>266</v>
      </c>
      <c r="F134" s="5" t="s">
        <v>264</v>
      </c>
      <c r="G134" s="6" t="s">
        <v>2</v>
      </c>
      <c r="H134" s="7" t="s">
        <v>267</v>
      </c>
    </row>
    <row r="135" spans="1:8" x14ac:dyDescent="0.25">
      <c r="A135" s="1">
        <v>7</v>
      </c>
      <c r="B135" s="1">
        <v>1</v>
      </c>
      <c r="C135" s="1">
        <v>137</v>
      </c>
      <c r="D135" s="1">
        <f t="shared" si="6"/>
        <v>1</v>
      </c>
      <c r="E135" s="24" t="s">
        <v>283</v>
      </c>
      <c r="F135" s="5" t="s">
        <v>96</v>
      </c>
      <c r="G135" s="6" t="s">
        <v>2</v>
      </c>
      <c r="H135" s="7" t="s">
        <v>284</v>
      </c>
    </row>
    <row r="136" spans="1:8" x14ac:dyDescent="0.25">
      <c r="A136" s="1">
        <v>7</v>
      </c>
      <c r="B136" s="1">
        <v>1</v>
      </c>
      <c r="C136" s="1">
        <v>138</v>
      </c>
      <c r="D136" s="1">
        <f t="shared" si="6"/>
        <v>1</v>
      </c>
      <c r="E136" s="24" t="s">
        <v>287</v>
      </c>
      <c r="F136" s="5" t="s">
        <v>288</v>
      </c>
      <c r="G136" s="6" t="s">
        <v>2</v>
      </c>
      <c r="H136" s="7" t="s">
        <v>289</v>
      </c>
    </row>
    <row r="137" spans="1:8" x14ac:dyDescent="0.25">
      <c r="A137" s="1">
        <v>7</v>
      </c>
      <c r="B137" s="1">
        <v>1</v>
      </c>
      <c r="C137" s="1">
        <v>139</v>
      </c>
      <c r="D137" s="1">
        <f t="shared" si="6"/>
        <v>1</v>
      </c>
      <c r="E137" s="24" t="s">
        <v>290</v>
      </c>
      <c r="F137" s="5" t="s">
        <v>17</v>
      </c>
      <c r="G137" s="6" t="s">
        <v>2</v>
      </c>
      <c r="H137" s="7" t="s">
        <v>291</v>
      </c>
    </row>
    <row r="138" spans="1:8" x14ac:dyDescent="0.25">
      <c r="A138" s="1">
        <v>7</v>
      </c>
      <c r="B138" s="1">
        <v>1</v>
      </c>
      <c r="C138" s="1">
        <v>140</v>
      </c>
      <c r="D138" s="1">
        <f t="shared" si="6"/>
        <v>1</v>
      </c>
      <c r="E138" s="27" t="s">
        <v>292</v>
      </c>
      <c r="F138" s="13" t="s">
        <v>55</v>
      </c>
      <c r="G138" s="8" t="s">
        <v>2</v>
      </c>
      <c r="H138" s="14" t="s">
        <v>293</v>
      </c>
    </row>
    <row r="139" spans="1:8" x14ac:dyDescent="0.25">
      <c r="A139" s="1">
        <v>7</v>
      </c>
      <c r="B139" s="1">
        <v>2</v>
      </c>
      <c r="C139" s="1">
        <v>141</v>
      </c>
      <c r="D139" s="1">
        <f t="shared" si="6"/>
        <v>1</v>
      </c>
      <c r="E139" s="24" t="s">
        <v>244</v>
      </c>
      <c r="F139" s="5" t="s">
        <v>45</v>
      </c>
      <c r="G139" s="9" t="s">
        <v>14</v>
      </c>
      <c r="H139" s="7" t="s">
        <v>245</v>
      </c>
    </row>
    <row r="140" spans="1:8" x14ac:dyDescent="0.25">
      <c r="A140" s="1">
        <v>7</v>
      </c>
      <c r="B140" s="1">
        <v>2</v>
      </c>
      <c r="C140" s="1">
        <v>142</v>
      </c>
      <c r="D140" s="1">
        <f t="shared" si="6"/>
        <v>1</v>
      </c>
      <c r="E140" s="24" t="s">
        <v>246</v>
      </c>
      <c r="F140" s="5" t="s">
        <v>247</v>
      </c>
      <c r="G140" s="9" t="s">
        <v>14</v>
      </c>
      <c r="H140" s="7" t="s">
        <v>248</v>
      </c>
    </row>
    <row r="141" spans="1:8" x14ac:dyDescent="0.25">
      <c r="A141" s="1">
        <v>7</v>
      </c>
      <c r="B141" s="1">
        <v>2</v>
      </c>
      <c r="C141" s="1">
        <v>143</v>
      </c>
      <c r="D141" s="1">
        <f t="shared" si="6"/>
        <v>1</v>
      </c>
      <c r="E141" s="24" t="s">
        <v>249</v>
      </c>
      <c r="F141" s="5" t="s">
        <v>250</v>
      </c>
      <c r="G141" s="9" t="s">
        <v>14</v>
      </c>
      <c r="H141" s="7" t="s">
        <v>251</v>
      </c>
    </row>
    <row r="142" spans="1:8" x14ac:dyDescent="0.25">
      <c r="A142" s="1">
        <v>7</v>
      </c>
      <c r="B142" s="1">
        <v>2</v>
      </c>
      <c r="C142" s="1">
        <v>144</v>
      </c>
      <c r="D142" s="1">
        <f t="shared" si="6"/>
        <v>1</v>
      </c>
      <c r="E142" s="24" t="s">
        <v>252</v>
      </c>
      <c r="F142" s="5" t="s">
        <v>85</v>
      </c>
      <c r="G142" s="9" t="s">
        <v>14</v>
      </c>
      <c r="H142" s="7" t="s">
        <v>253</v>
      </c>
    </row>
    <row r="143" spans="1:8" x14ac:dyDescent="0.25">
      <c r="A143" s="1">
        <v>7</v>
      </c>
      <c r="B143" s="1">
        <v>2</v>
      </c>
      <c r="C143" s="1">
        <v>145</v>
      </c>
      <c r="D143" s="1">
        <f t="shared" si="6"/>
        <v>1</v>
      </c>
      <c r="E143" s="24" t="s">
        <v>256</v>
      </c>
      <c r="F143" s="5" t="s">
        <v>257</v>
      </c>
      <c r="G143" s="9" t="s">
        <v>14</v>
      </c>
      <c r="H143" s="7" t="s">
        <v>258</v>
      </c>
    </row>
    <row r="144" spans="1:8" x14ac:dyDescent="0.25">
      <c r="A144" s="1">
        <v>7</v>
      </c>
      <c r="B144" s="1">
        <v>2</v>
      </c>
      <c r="C144" s="1">
        <v>146</v>
      </c>
      <c r="D144" s="1">
        <f t="shared" si="6"/>
        <v>1</v>
      </c>
      <c r="E144" s="24" t="s">
        <v>270</v>
      </c>
      <c r="F144" s="5" t="s">
        <v>45</v>
      </c>
      <c r="G144" s="9" t="s">
        <v>14</v>
      </c>
      <c r="H144" s="7" t="s">
        <v>271</v>
      </c>
    </row>
    <row r="145" spans="1:8" x14ac:dyDescent="0.25">
      <c r="A145" s="1">
        <v>7</v>
      </c>
      <c r="B145" s="1">
        <v>2</v>
      </c>
      <c r="C145" s="1">
        <v>147</v>
      </c>
      <c r="D145" s="1">
        <f t="shared" si="6"/>
        <v>1</v>
      </c>
      <c r="E145" s="24" t="s">
        <v>272</v>
      </c>
      <c r="F145" s="5" t="s">
        <v>17</v>
      </c>
      <c r="G145" s="9" t="s">
        <v>14</v>
      </c>
      <c r="H145" s="7" t="s">
        <v>273</v>
      </c>
    </row>
    <row r="146" spans="1:8" x14ac:dyDescent="0.25">
      <c r="A146" s="1">
        <v>7</v>
      </c>
      <c r="B146" s="1">
        <v>2</v>
      </c>
      <c r="C146" s="1">
        <v>148</v>
      </c>
      <c r="D146" s="1">
        <f t="shared" si="6"/>
        <v>1</v>
      </c>
      <c r="E146" s="24" t="s">
        <v>274</v>
      </c>
      <c r="F146" s="5" t="s">
        <v>264</v>
      </c>
      <c r="G146" s="9" t="s">
        <v>14</v>
      </c>
      <c r="H146" s="7" t="s">
        <v>275</v>
      </c>
    </row>
    <row r="147" spans="1:8" x14ac:dyDescent="0.25">
      <c r="A147" s="1">
        <v>7</v>
      </c>
      <c r="B147" s="1">
        <v>2</v>
      </c>
      <c r="C147" s="1">
        <v>149</v>
      </c>
      <c r="D147" s="1">
        <f t="shared" si="6"/>
        <v>1</v>
      </c>
      <c r="E147" s="24" t="s">
        <v>276</v>
      </c>
      <c r="F147" s="5" t="s">
        <v>11</v>
      </c>
      <c r="G147" s="9" t="s">
        <v>14</v>
      </c>
      <c r="H147" s="7" t="s">
        <v>277</v>
      </c>
    </row>
    <row r="148" spans="1:8" x14ac:dyDescent="0.25">
      <c r="A148" s="1">
        <v>7</v>
      </c>
      <c r="B148" s="1">
        <v>2</v>
      </c>
      <c r="C148" s="1">
        <v>150</v>
      </c>
      <c r="D148" s="1">
        <f t="shared" si="6"/>
        <v>1</v>
      </c>
      <c r="E148" s="24" t="s">
        <v>281</v>
      </c>
      <c r="F148" s="5" t="s">
        <v>96</v>
      </c>
      <c r="G148" s="9" t="s">
        <v>14</v>
      </c>
      <c r="H148" s="7" t="s">
        <v>282</v>
      </c>
    </row>
    <row r="149" spans="1:8" x14ac:dyDescent="0.25">
      <c r="A149" s="1">
        <v>7</v>
      </c>
      <c r="B149" s="1">
        <v>2</v>
      </c>
      <c r="C149" s="1">
        <v>151</v>
      </c>
      <c r="D149" s="1">
        <f t="shared" si="6"/>
        <v>1</v>
      </c>
      <c r="E149" s="24" t="s">
        <v>285</v>
      </c>
      <c r="F149" s="5" t="s">
        <v>96</v>
      </c>
      <c r="G149" s="9" t="s">
        <v>14</v>
      </c>
      <c r="H149" s="7" t="s">
        <v>286</v>
      </c>
    </row>
    <row r="150" spans="1:8" x14ac:dyDescent="0.25">
      <c r="A150" s="1">
        <v>7</v>
      </c>
      <c r="B150" s="1">
        <v>3</v>
      </c>
      <c r="C150" s="1">
        <v>152</v>
      </c>
      <c r="D150" s="1">
        <f t="shared" si="6"/>
        <v>1</v>
      </c>
      <c r="E150" s="24" t="s">
        <v>268</v>
      </c>
      <c r="F150" s="5" t="s">
        <v>112</v>
      </c>
      <c r="G150" s="17" t="s">
        <v>100</v>
      </c>
      <c r="H150" s="7" t="s">
        <v>269</v>
      </c>
    </row>
    <row r="151" spans="1:8" x14ac:dyDescent="0.25">
      <c r="A151" s="1">
        <v>7</v>
      </c>
      <c r="B151" s="1">
        <v>3</v>
      </c>
      <c r="C151" s="1">
        <v>153</v>
      </c>
      <c r="D151" s="1">
        <f t="shared" si="6"/>
        <v>1</v>
      </c>
      <c r="E151" s="27" t="s">
        <v>278</v>
      </c>
      <c r="F151" s="13" t="s">
        <v>279</v>
      </c>
      <c r="G151" s="20" t="s">
        <v>100</v>
      </c>
      <c r="H151" s="14" t="s">
        <v>280</v>
      </c>
    </row>
    <row r="152" spans="1:8" x14ac:dyDescent="0.25">
      <c r="A152" s="1">
        <v>7</v>
      </c>
      <c r="B152" s="1" t="s">
        <v>619</v>
      </c>
      <c r="C152" s="1">
        <v>154</v>
      </c>
      <c r="D152" s="1">
        <f t="shared" si="6"/>
        <v>0</v>
      </c>
      <c r="E152" s="12"/>
      <c r="F152" s="10"/>
      <c r="G152" s="11"/>
      <c r="H152" s="12"/>
    </row>
    <row r="153" spans="1:8" ht="24" x14ac:dyDescent="0.25">
      <c r="A153" s="1">
        <v>7</v>
      </c>
      <c r="B153" s="1" t="s">
        <v>619</v>
      </c>
      <c r="C153" s="1">
        <v>155</v>
      </c>
      <c r="D153" s="1">
        <f t="shared" si="6"/>
        <v>2</v>
      </c>
      <c r="E153" s="25" t="s">
        <v>605</v>
      </c>
      <c r="F153" s="10"/>
      <c r="G153" s="11"/>
      <c r="H153" s="12"/>
    </row>
    <row r="154" spans="1:8" x14ac:dyDescent="0.25">
      <c r="A154" s="1">
        <v>8</v>
      </c>
      <c r="B154" s="1">
        <v>1</v>
      </c>
      <c r="C154" s="1">
        <v>156</v>
      </c>
      <c r="D154" s="1">
        <f t="shared" si="6"/>
        <v>1</v>
      </c>
      <c r="E154" s="24" t="s">
        <v>294</v>
      </c>
      <c r="F154" s="5" t="s">
        <v>20</v>
      </c>
      <c r="G154" s="6" t="s">
        <v>2</v>
      </c>
      <c r="H154" s="7" t="s">
        <v>295</v>
      </c>
    </row>
    <row r="155" spans="1:8" x14ac:dyDescent="0.25">
      <c r="A155" s="1">
        <v>8</v>
      </c>
      <c r="B155" s="1">
        <v>1</v>
      </c>
      <c r="C155" s="1">
        <v>157</v>
      </c>
      <c r="D155" s="1">
        <f t="shared" si="6"/>
        <v>1</v>
      </c>
      <c r="E155" s="24" t="s">
        <v>298</v>
      </c>
      <c r="F155" s="5" t="s">
        <v>85</v>
      </c>
      <c r="G155" s="6" t="s">
        <v>2</v>
      </c>
      <c r="H155" s="7" t="s">
        <v>299</v>
      </c>
    </row>
    <row r="156" spans="1:8" x14ac:dyDescent="0.25">
      <c r="A156" s="1">
        <v>8</v>
      </c>
      <c r="B156" s="1">
        <v>2</v>
      </c>
      <c r="C156" s="1">
        <v>158</v>
      </c>
      <c r="D156" s="1">
        <f t="shared" si="6"/>
        <v>1</v>
      </c>
      <c r="E156" s="24" t="s">
        <v>296</v>
      </c>
      <c r="F156" s="5" t="s">
        <v>85</v>
      </c>
      <c r="G156" s="9" t="s">
        <v>14</v>
      </c>
      <c r="H156" s="7" t="s">
        <v>297</v>
      </c>
    </row>
    <row r="157" spans="1:8" x14ac:dyDescent="0.25">
      <c r="A157" s="1">
        <v>8</v>
      </c>
      <c r="B157" s="1">
        <v>2</v>
      </c>
      <c r="C157" s="1">
        <v>159</v>
      </c>
      <c r="D157" s="1">
        <f t="shared" si="6"/>
        <v>1</v>
      </c>
      <c r="E157" s="24" t="s">
        <v>306</v>
      </c>
      <c r="F157" s="5" t="s">
        <v>99</v>
      </c>
      <c r="G157" s="9" t="s">
        <v>14</v>
      </c>
      <c r="H157" s="7" t="s">
        <v>307</v>
      </c>
    </row>
    <row r="158" spans="1:8" x14ac:dyDescent="0.25">
      <c r="A158" s="1">
        <v>8</v>
      </c>
      <c r="B158" s="1">
        <v>3</v>
      </c>
      <c r="C158" s="1">
        <v>160</v>
      </c>
      <c r="D158" s="1">
        <f t="shared" si="6"/>
        <v>1</v>
      </c>
      <c r="E158" s="24" t="s">
        <v>300</v>
      </c>
      <c r="F158" s="5" t="s">
        <v>153</v>
      </c>
      <c r="G158" s="17" t="s">
        <v>100</v>
      </c>
      <c r="H158" s="7" t="s">
        <v>301</v>
      </c>
    </row>
    <row r="159" spans="1:8" ht="24" x14ac:dyDescent="0.25">
      <c r="A159" s="1">
        <v>8</v>
      </c>
      <c r="B159" s="1">
        <v>3</v>
      </c>
      <c r="C159" s="1">
        <v>161</v>
      </c>
      <c r="D159" s="1">
        <f t="shared" si="6"/>
        <v>1</v>
      </c>
      <c r="E159" s="24" t="s">
        <v>302</v>
      </c>
      <c r="F159" s="5" t="s">
        <v>96</v>
      </c>
      <c r="G159" s="17" t="s">
        <v>100</v>
      </c>
      <c r="H159" s="7" t="s">
        <v>303</v>
      </c>
    </row>
    <row r="160" spans="1:8" x14ac:dyDescent="0.25">
      <c r="A160" s="1">
        <v>8</v>
      </c>
      <c r="B160" s="1">
        <v>3</v>
      </c>
      <c r="C160" s="1">
        <v>162</v>
      </c>
      <c r="D160" s="1">
        <f t="shared" si="6"/>
        <v>1</v>
      </c>
      <c r="E160" s="24" t="s">
        <v>304</v>
      </c>
      <c r="F160" s="5" t="s">
        <v>96</v>
      </c>
      <c r="G160" s="17" t="s">
        <v>100</v>
      </c>
      <c r="H160" s="7" t="s">
        <v>305</v>
      </c>
    </row>
    <row r="161" spans="1:8" x14ac:dyDescent="0.25">
      <c r="A161" s="1">
        <v>8</v>
      </c>
      <c r="B161" s="1">
        <v>3</v>
      </c>
      <c r="C161" s="1">
        <v>163</v>
      </c>
      <c r="D161" s="1">
        <f t="shared" si="6"/>
        <v>1</v>
      </c>
      <c r="E161" s="24" t="s">
        <v>308</v>
      </c>
      <c r="F161" s="5" t="s">
        <v>96</v>
      </c>
      <c r="G161" s="17" t="s">
        <v>100</v>
      </c>
      <c r="H161" s="7" t="s">
        <v>309</v>
      </c>
    </row>
    <row r="162" spans="1:8" x14ac:dyDescent="0.25">
      <c r="A162" s="1">
        <v>8</v>
      </c>
      <c r="B162" s="1">
        <v>3</v>
      </c>
      <c r="C162" s="1">
        <v>164</v>
      </c>
      <c r="D162" s="1">
        <f t="shared" si="6"/>
        <v>1</v>
      </c>
      <c r="E162" s="24" t="s">
        <v>310</v>
      </c>
      <c r="F162" s="5" t="s">
        <v>96</v>
      </c>
      <c r="G162" s="17" t="s">
        <v>100</v>
      </c>
      <c r="H162" s="7" t="s">
        <v>311</v>
      </c>
    </row>
    <row r="163" spans="1:8" x14ac:dyDescent="0.25">
      <c r="A163" s="1">
        <v>8</v>
      </c>
      <c r="B163" s="1">
        <v>3</v>
      </c>
      <c r="C163" s="1">
        <v>165</v>
      </c>
      <c r="D163" s="1">
        <f t="shared" si="6"/>
        <v>1</v>
      </c>
      <c r="E163" s="24" t="s">
        <v>312</v>
      </c>
      <c r="F163" s="5" t="s">
        <v>96</v>
      </c>
      <c r="G163" s="17" t="s">
        <v>100</v>
      </c>
      <c r="H163" s="7" t="s">
        <v>313</v>
      </c>
    </row>
    <row r="164" spans="1:8" x14ac:dyDescent="0.25">
      <c r="A164" s="1">
        <v>8</v>
      </c>
      <c r="B164" s="1" t="s">
        <v>619</v>
      </c>
      <c r="C164" s="1">
        <v>166</v>
      </c>
      <c r="D164" s="1">
        <f t="shared" si="6"/>
        <v>0</v>
      </c>
      <c r="E164" s="12"/>
      <c r="F164" s="10"/>
      <c r="G164" s="11"/>
      <c r="H164" s="12"/>
    </row>
    <row r="165" spans="1:8" x14ac:dyDescent="0.25">
      <c r="A165" s="1">
        <v>8</v>
      </c>
      <c r="B165" s="1" t="s">
        <v>619</v>
      </c>
      <c r="C165" s="1">
        <v>167</v>
      </c>
      <c r="D165" s="1">
        <f t="shared" si="6"/>
        <v>2</v>
      </c>
      <c r="E165" s="23" t="s">
        <v>606</v>
      </c>
    </row>
    <row r="166" spans="1:8" x14ac:dyDescent="0.25">
      <c r="A166" s="1">
        <v>9</v>
      </c>
      <c r="B166" s="1">
        <v>1</v>
      </c>
      <c r="C166" s="1">
        <v>168</v>
      </c>
      <c r="D166" s="1">
        <f t="shared" si="6"/>
        <v>1</v>
      </c>
      <c r="E166" s="24" t="s">
        <v>314</v>
      </c>
      <c r="F166" s="5" t="s">
        <v>315</v>
      </c>
      <c r="G166" s="6" t="s">
        <v>2</v>
      </c>
      <c r="H166" s="7" t="s">
        <v>316</v>
      </c>
    </row>
    <row r="167" spans="1:8" x14ac:dyDescent="0.25">
      <c r="A167" s="1">
        <v>9</v>
      </c>
      <c r="B167" s="1">
        <v>1</v>
      </c>
      <c r="C167" s="1">
        <v>169</v>
      </c>
      <c r="D167" s="1">
        <f t="shared" si="6"/>
        <v>1</v>
      </c>
      <c r="E167" s="24" t="s">
        <v>317</v>
      </c>
      <c r="F167" s="5" t="s">
        <v>8</v>
      </c>
      <c r="G167" s="6" t="s">
        <v>2</v>
      </c>
      <c r="H167" s="7" t="s">
        <v>318</v>
      </c>
    </row>
    <row r="168" spans="1:8" ht="24" x14ac:dyDescent="0.25">
      <c r="A168" s="1">
        <v>9</v>
      </c>
      <c r="B168" s="1">
        <v>1</v>
      </c>
      <c r="C168" s="1">
        <v>170</v>
      </c>
      <c r="D168" s="1">
        <f t="shared" si="6"/>
        <v>1</v>
      </c>
      <c r="E168" s="24" t="s">
        <v>319</v>
      </c>
      <c r="F168" s="5" t="s">
        <v>8</v>
      </c>
      <c r="G168" s="6" t="s">
        <v>2</v>
      </c>
      <c r="H168" s="7" t="s">
        <v>320</v>
      </c>
    </row>
    <row r="169" spans="1:8" x14ac:dyDescent="0.25">
      <c r="A169" s="1">
        <v>9</v>
      </c>
      <c r="B169" s="1">
        <v>1</v>
      </c>
      <c r="C169" s="1">
        <v>171</v>
      </c>
      <c r="D169" s="1">
        <f t="shared" si="6"/>
        <v>1</v>
      </c>
      <c r="E169" s="24" t="s">
        <v>321</v>
      </c>
      <c r="F169" s="5" t="s">
        <v>8</v>
      </c>
      <c r="G169" s="6" t="s">
        <v>2</v>
      </c>
      <c r="H169" s="7" t="s">
        <v>322</v>
      </c>
    </row>
    <row r="170" spans="1:8" x14ac:dyDescent="0.25">
      <c r="A170" s="1">
        <v>9</v>
      </c>
      <c r="B170" s="1">
        <v>1</v>
      </c>
      <c r="C170" s="1">
        <v>172</v>
      </c>
      <c r="D170" s="1">
        <f t="shared" si="6"/>
        <v>1</v>
      </c>
      <c r="E170" s="24" t="s">
        <v>323</v>
      </c>
      <c r="F170" s="5" t="s">
        <v>324</v>
      </c>
      <c r="G170" s="6" t="s">
        <v>2</v>
      </c>
      <c r="H170" s="7" t="s">
        <v>325</v>
      </c>
    </row>
    <row r="171" spans="1:8" x14ac:dyDescent="0.25">
      <c r="A171" s="1">
        <v>9</v>
      </c>
      <c r="B171" s="1">
        <v>1</v>
      </c>
      <c r="C171" s="1">
        <v>173</v>
      </c>
      <c r="D171" s="1">
        <f t="shared" si="6"/>
        <v>1</v>
      </c>
      <c r="E171" s="24" t="s">
        <v>326</v>
      </c>
      <c r="F171" s="5" t="s">
        <v>324</v>
      </c>
      <c r="G171" s="6" t="s">
        <v>2</v>
      </c>
      <c r="H171" s="7" t="s">
        <v>327</v>
      </c>
    </row>
    <row r="172" spans="1:8" ht="24" x14ac:dyDescent="0.25">
      <c r="A172" s="1">
        <v>9</v>
      </c>
      <c r="B172" s="1">
        <v>1</v>
      </c>
      <c r="C172" s="1">
        <v>174</v>
      </c>
      <c r="D172" s="1">
        <f t="shared" si="6"/>
        <v>1</v>
      </c>
      <c r="E172" s="24" t="s">
        <v>331</v>
      </c>
      <c r="F172" s="5" t="s">
        <v>42</v>
      </c>
      <c r="G172" s="6" t="s">
        <v>2</v>
      </c>
      <c r="H172" s="7" t="s">
        <v>332</v>
      </c>
    </row>
    <row r="173" spans="1:8" x14ac:dyDescent="0.25">
      <c r="A173" s="1">
        <v>9</v>
      </c>
      <c r="B173" s="1">
        <v>1</v>
      </c>
      <c r="C173" s="1">
        <v>175</v>
      </c>
      <c r="D173" s="1">
        <f t="shared" si="6"/>
        <v>1</v>
      </c>
      <c r="E173" s="24" t="s">
        <v>333</v>
      </c>
      <c r="F173" s="5" t="s">
        <v>8</v>
      </c>
      <c r="G173" s="6" t="s">
        <v>2</v>
      </c>
      <c r="H173" s="7" t="s">
        <v>334</v>
      </c>
    </row>
    <row r="174" spans="1:8" x14ac:dyDescent="0.25">
      <c r="A174" s="1">
        <v>9</v>
      </c>
      <c r="B174" s="1">
        <v>2</v>
      </c>
      <c r="C174" s="1">
        <v>176</v>
      </c>
      <c r="D174" s="1">
        <f t="shared" si="6"/>
        <v>1</v>
      </c>
      <c r="E174" s="24" t="s">
        <v>328</v>
      </c>
      <c r="F174" s="5" t="s">
        <v>329</v>
      </c>
      <c r="G174" s="9" t="s">
        <v>14</v>
      </c>
      <c r="H174" s="7" t="s">
        <v>330</v>
      </c>
    </row>
    <row r="175" spans="1:8" x14ac:dyDescent="0.25">
      <c r="A175" s="1">
        <v>9</v>
      </c>
      <c r="B175" s="1">
        <v>2</v>
      </c>
      <c r="C175" s="1">
        <v>177</v>
      </c>
      <c r="D175" s="1">
        <f t="shared" si="6"/>
        <v>1</v>
      </c>
      <c r="E175" s="24" t="s">
        <v>335</v>
      </c>
      <c r="F175" s="5" t="s">
        <v>85</v>
      </c>
      <c r="G175" s="9" t="s">
        <v>14</v>
      </c>
      <c r="H175" s="7" t="s">
        <v>336</v>
      </c>
    </row>
    <row r="176" spans="1:8" x14ac:dyDescent="0.25">
      <c r="A176" s="1">
        <v>9</v>
      </c>
      <c r="B176" s="1">
        <v>2</v>
      </c>
      <c r="C176" s="1">
        <v>178</v>
      </c>
      <c r="D176" s="1">
        <f t="shared" si="6"/>
        <v>1</v>
      </c>
      <c r="E176" s="24" t="s">
        <v>337</v>
      </c>
      <c r="F176" s="5" t="s">
        <v>17</v>
      </c>
      <c r="G176" s="9" t="s">
        <v>14</v>
      </c>
      <c r="H176" s="7" t="s">
        <v>338</v>
      </c>
    </row>
    <row r="177" spans="1:8" ht="55.5" customHeight="1" x14ac:dyDescent="0.25">
      <c r="A177" s="1">
        <v>9</v>
      </c>
      <c r="B177" s="1" t="s">
        <v>619</v>
      </c>
      <c r="C177" s="1">
        <v>179</v>
      </c>
      <c r="D177" s="1">
        <f t="shared" ref="D177:D240" si="7">IF(E177="",0,IF(E176="",2,1))</f>
        <v>0</v>
      </c>
      <c r="E177" s="12"/>
      <c r="F177" s="10"/>
      <c r="G177" s="11"/>
      <c r="H177" s="12"/>
    </row>
    <row r="178" spans="1:8" ht="24" x14ac:dyDescent="0.25">
      <c r="A178" s="1">
        <v>9</v>
      </c>
      <c r="B178" s="1" t="s">
        <v>619</v>
      </c>
      <c r="C178" s="1">
        <v>180</v>
      </c>
      <c r="D178" s="1">
        <f t="shared" si="7"/>
        <v>2</v>
      </c>
      <c r="E178" s="25" t="s">
        <v>607</v>
      </c>
      <c r="F178" s="10"/>
      <c r="G178" s="11"/>
      <c r="H178" s="12"/>
    </row>
    <row r="179" spans="1:8" x14ac:dyDescent="0.25">
      <c r="A179" s="1">
        <v>10</v>
      </c>
      <c r="B179" s="1">
        <v>3</v>
      </c>
      <c r="C179" s="1">
        <v>181</v>
      </c>
      <c r="D179" s="1">
        <f t="shared" si="7"/>
        <v>1</v>
      </c>
      <c r="E179" s="24" t="s">
        <v>339</v>
      </c>
      <c r="F179" s="5" t="s">
        <v>340</v>
      </c>
      <c r="G179" s="17" t="s">
        <v>100</v>
      </c>
      <c r="H179" s="7" t="s">
        <v>341</v>
      </c>
    </row>
    <row r="180" spans="1:8" x14ac:dyDescent="0.25">
      <c r="A180" s="1">
        <v>10</v>
      </c>
      <c r="B180" s="1">
        <v>3</v>
      </c>
      <c r="C180" s="1">
        <v>182</v>
      </c>
      <c r="D180" s="1">
        <f t="shared" si="7"/>
        <v>1</v>
      </c>
      <c r="E180" s="24" t="s">
        <v>342</v>
      </c>
      <c r="F180" s="5" t="s">
        <v>343</v>
      </c>
      <c r="G180" s="17" t="s">
        <v>100</v>
      </c>
      <c r="H180" s="7" t="s">
        <v>344</v>
      </c>
    </row>
    <row r="181" spans="1:8" x14ac:dyDescent="0.25">
      <c r="A181" s="1">
        <v>10</v>
      </c>
      <c r="B181" s="1">
        <v>3</v>
      </c>
      <c r="C181" s="1">
        <v>183</v>
      </c>
      <c r="D181" s="1">
        <f t="shared" si="7"/>
        <v>1</v>
      </c>
      <c r="E181" s="24" t="s">
        <v>349</v>
      </c>
      <c r="F181" s="5" t="s">
        <v>350</v>
      </c>
      <c r="G181" s="17" t="s">
        <v>100</v>
      </c>
      <c r="H181" s="7" t="s">
        <v>351</v>
      </c>
    </row>
    <row r="182" spans="1:8" x14ac:dyDescent="0.25">
      <c r="A182" s="1">
        <v>10</v>
      </c>
      <c r="B182" s="1">
        <v>3</v>
      </c>
      <c r="C182" s="1">
        <v>184</v>
      </c>
      <c r="D182" s="1">
        <f t="shared" si="7"/>
        <v>1</v>
      </c>
      <c r="E182" s="27" t="s">
        <v>352</v>
      </c>
      <c r="F182" s="13" t="s">
        <v>350</v>
      </c>
      <c r="G182" s="20" t="s">
        <v>100</v>
      </c>
      <c r="H182" s="14" t="s">
        <v>353</v>
      </c>
    </row>
    <row r="183" spans="1:8" x14ac:dyDescent="0.25">
      <c r="A183" s="1">
        <v>10</v>
      </c>
      <c r="B183" s="1">
        <v>3</v>
      </c>
      <c r="C183" s="1">
        <v>185</v>
      </c>
      <c r="D183" s="1">
        <f t="shared" si="7"/>
        <v>1</v>
      </c>
      <c r="E183" s="24" t="s">
        <v>354</v>
      </c>
      <c r="F183" s="5" t="s">
        <v>279</v>
      </c>
      <c r="G183" s="17" t="s">
        <v>100</v>
      </c>
      <c r="H183" s="7" t="s">
        <v>355</v>
      </c>
    </row>
    <row r="184" spans="1:8" x14ac:dyDescent="0.25">
      <c r="A184" s="1">
        <v>10</v>
      </c>
      <c r="B184" s="1">
        <v>3</v>
      </c>
      <c r="C184" s="1">
        <v>186</v>
      </c>
      <c r="D184" s="1">
        <f t="shared" si="7"/>
        <v>1</v>
      </c>
      <c r="E184" s="24" t="s">
        <v>360</v>
      </c>
      <c r="F184" s="5" t="s">
        <v>279</v>
      </c>
      <c r="G184" s="17" t="s">
        <v>100</v>
      </c>
      <c r="H184" s="7" t="s">
        <v>361</v>
      </c>
    </row>
    <row r="185" spans="1:8" x14ac:dyDescent="0.25">
      <c r="A185" s="1">
        <v>10</v>
      </c>
      <c r="B185" s="1">
        <v>3</v>
      </c>
      <c r="C185" s="1">
        <v>187</v>
      </c>
      <c r="D185" s="1">
        <f t="shared" si="7"/>
        <v>1</v>
      </c>
      <c r="E185" s="24" t="s">
        <v>362</v>
      </c>
      <c r="F185" s="5" t="s">
        <v>96</v>
      </c>
      <c r="G185" s="17" t="s">
        <v>100</v>
      </c>
      <c r="H185" s="7" t="s">
        <v>363</v>
      </c>
    </row>
    <row r="186" spans="1:8" x14ac:dyDescent="0.25">
      <c r="A186" s="1">
        <v>10</v>
      </c>
      <c r="B186" s="1">
        <v>3</v>
      </c>
      <c r="C186" s="1">
        <v>188</v>
      </c>
      <c r="D186" s="1">
        <f t="shared" si="7"/>
        <v>1</v>
      </c>
      <c r="E186" s="24" t="s">
        <v>364</v>
      </c>
      <c r="F186" s="5" t="s">
        <v>96</v>
      </c>
      <c r="G186" s="17" t="s">
        <v>100</v>
      </c>
      <c r="H186" s="7" t="s">
        <v>365</v>
      </c>
    </row>
    <row r="187" spans="1:8" x14ac:dyDescent="0.25">
      <c r="A187" s="1">
        <v>10</v>
      </c>
      <c r="B187" s="1">
        <v>3</v>
      </c>
      <c r="C187" s="1">
        <v>189</v>
      </c>
      <c r="D187" s="1">
        <f t="shared" si="7"/>
        <v>1</v>
      </c>
      <c r="E187" s="24" t="s">
        <v>366</v>
      </c>
      <c r="F187" s="5" t="s">
        <v>153</v>
      </c>
      <c r="G187" s="17" t="s">
        <v>100</v>
      </c>
      <c r="H187" s="7" t="s">
        <v>367</v>
      </c>
    </row>
    <row r="188" spans="1:8" x14ac:dyDescent="0.25">
      <c r="A188" s="1">
        <v>10</v>
      </c>
      <c r="B188" s="1">
        <v>3</v>
      </c>
      <c r="C188" s="1">
        <v>190</v>
      </c>
      <c r="D188" s="1">
        <f t="shared" si="7"/>
        <v>1</v>
      </c>
      <c r="E188" s="24" t="s">
        <v>368</v>
      </c>
      <c r="F188" s="5" t="s">
        <v>144</v>
      </c>
      <c r="G188" s="17" t="s">
        <v>100</v>
      </c>
      <c r="H188" s="7" t="s">
        <v>369</v>
      </c>
    </row>
    <row r="189" spans="1:8" x14ac:dyDescent="0.25">
      <c r="A189" s="1">
        <v>10</v>
      </c>
      <c r="B189" s="1">
        <v>3</v>
      </c>
      <c r="C189" s="1">
        <v>191</v>
      </c>
      <c r="D189" s="1">
        <f t="shared" si="7"/>
        <v>1</v>
      </c>
      <c r="E189" s="24" t="s">
        <v>370</v>
      </c>
      <c r="F189" s="5" t="s">
        <v>158</v>
      </c>
      <c r="G189" s="17" t="s">
        <v>100</v>
      </c>
      <c r="H189" s="7" t="s">
        <v>371</v>
      </c>
    </row>
    <row r="190" spans="1:8" x14ac:dyDescent="0.25">
      <c r="A190" s="1">
        <v>10</v>
      </c>
      <c r="B190" s="1" t="s">
        <v>619</v>
      </c>
      <c r="C190" s="1">
        <v>192</v>
      </c>
      <c r="D190" s="1">
        <f t="shared" si="7"/>
        <v>1</v>
      </c>
      <c r="E190" s="24" t="s">
        <v>345</v>
      </c>
      <c r="F190" s="5" t="s">
        <v>346</v>
      </c>
      <c r="G190" s="21" t="s">
        <v>347</v>
      </c>
      <c r="H190" s="7" t="s">
        <v>348</v>
      </c>
    </row>
    <row r="191" spans="1:8" x14ac:dyDescent="0.25">
      <c r="A191" s="1">
        <v>10</v>
      </c>
      <c r="B191" s="1" t="s">
        <v>619</v>
      </c>
      <c r="C191" s="1">
        <v>193</v>
      </c>
      <c r="D191" s="1">
        <f t="shared" si="7"/>
        <v>1</v>
      </c>
      <c r="E191" s="24" t="s">
        <v>356</v>
      </c>
      <c r="F191" s="5" t="s">
        <v>279</v>
      </c>
      <c r="G191" s="21" t="s">
        <v>347</v>
      </c>
      <c r="H191" s="7" t="s">
        <v>357</v>
      </c>
    </row>
    <row r="192" spans="1:8" x14ac:dyDescent="0.25">
      <c r="A192" s="1">
        <v>10</v>
      </c>
      <c r="B192" s="1" t="s">
        <v>619</v>
      </c>
      <c r="C192" s="1">
        <v>194</v>
      </c>
      <c r="D192" s="1">
        <f t="shared" si="7"/>
        <v>1</v>
      </c>
      <c r="E192" s="24" t="s">
        <v>358</v>
      </c>
      <c r="F192" s="5" t="s">
        <v>153</v>
      </c>
      <c r="G192" s="21" t="s">
        <v>347</v>
      </c>
      <c r="H192" s="7" t="s">
        <v>359</v>
      </c>
    </row>
    <row r="193" spans="1:8" x14ac:dyDescent="0.25">
      <c r="A193" s="1">
        <v>10</v>
      </c>
      <c r="B193" s="1" t="s">
        <v>619</v>
      </c>
      <c r="C193" s="1">
        <v>195</v>
      </c>
      <c r="D193" s="1">
        <f t="shared" si="7"/>
        <v>0</v>
      </c>
      <c r="E193" s="12"/>
      <c r="F193" s="10"/>
      <c r="G193" s="11"/>
      <c r="H193" s="12"/>
    </row>
    <row r="194" spans="1:8" x14ac:dyDescent="0.25">
      <c r="A194" s="1">
        <v>10</v>
      </c>
      <c r="B194" s="1" t="s">
        <v>619</v>
      </c>
      <c r="C194" s="1">
        <v>196</v>
      </c>
      <c r="D194" s="1">
        <f t="shared" si="7"/>
        <v>2</v>
      </c>
      <c r="E194" s="25" t="s">
        <v>608</v>
      </c>
      <c r="F194" s="10"/>
      <c r="G194" s="11"/>
      <c r="H194" s="12"/>
    </row>
    <row r="195" spans="1:8" x14ac:dyDescent="0.25">
      <c r="A195" s="1">
        <v>11</v>
      </c>
      <c r="B195" s="1">
        <v>1</v>
      </c>
      <c r="C195" s="1">
        <v>197</v>
      </c>
      <c r="D195" s="1">
        <f t="shared" si="7"/>
        <v>1</v>
      </c>
      <c r="E195" s="24" t="s">
        <v>372</v>
      </c>
      <c r="F195" s="5" t="s">
        <v>136</v>
      </c>
      <c r="G195" s="6" t="s">
        <v>2</v>
      </c>
      <c r="H195" s="7" t="s">
        <v>373</v>
      </c>
    </row>
    <row r="196" spans="1:8" x14ac:dyDescent="0.25">
      <c r="A196" s="1">
        <v>11</v>
      </c>
      <c r="B196" s="1">
        <v>1</v>
      </c>
      <c r="C196" s="1">
        <v>198</v>
      </c>
      <c r="D196" s="1">
        <f t="shared" si="7"/>
        <v>1</v>
      </c>
      <c r="E196" s="24" t="s">
        <v>374</v>
      </c>
      <c r="F196" s="5" t="s">
        <v>131</v>
      </c>
      <c r="G196" s="6" t="s">
        <v>2</v>
      </c>
      <c r="H196" s="7" t="s">
        <v>375</v>
      </c>
    </row>
    <row r="197" spans="1:8" x14ac:dyDescent="0.25">
      <c r="A197" s="1">
        <v>11</v>
      </c>
      <c r="B197" s="1">
        <v>1</v>
      </c>
      <c r="C197" s="1">
        <v>199</v>
      </c>
      <c r="D197" s="1">
        <f t="shared" si="7"/>
        <v>1</v>
      </c>
      <c r="E197" s="27" t="s">
        <v>377</v>
      </c>
      <c r="F197" s="13" t="s">
        <v>78</v>
      </c>
      <c r="G197" s="8" t="s">
        <v>2</v>
      </c>
      <c r="H197" s="14" t="s">
        <v>378</v>
      </c>
    </row>
    <row r="198" spans="1:8" x14ac:dyDescent="0.25">
      <c r="A198" s="1">
        <v>11</v>
      </c>
      <c r="B198" s="1">
        <v>1</v>
      </c>
      <c r="C198" s="1">
        <v>200</v>
      </c>
      <c r="D198" s="1">
        <f t="shared" si="7"/>
        <v>1</v>
      </c>
      <c r="E198" s="24" t="s">
        <v>290</v>
      </c>
      <c r="F198" s="5" t="s">
        <v>387</v>
      </c>
      <c r="G198" s="6" t="s">
        <v>2</v>
      </c>
      <c r="H198" s="7" t="s">
        <v>388</v>
      </c>
    </row>
    <row r="199" spans="1:8" x14ac:dyDescent="0.25">
      <c r="A199" s="1">
        <v>11</v>
      </c>
      <c r="B199" s="1">
        <v>1</v>
      </c>
      <c r="C199" s="1">
        <v>201</v>
      </c>
      <c r="D199" s="1">
        <f t="shared" si="7"/>
        <v>1</v>
      </c>
      <c r="E199" s="24" t="s">
        <v>287</v>
      </c>
      <c r="F199" s="5" t="s">
        <v>288</v>
      </c>
      <c r="G199" s="6" t="s">
        <v>2</v>
      </c>
      <c r="H199" s="7" t="s">
        <v>389</v>
      </c>
    </row>
    <row r="200" spans="1:8" x14ac:dyDescent="0.25">
      <c r="A200" s="1">
        <v>11</v>
      </c>
      <c r="B200" s="1">
        <v>2</v>
      </c>
      <c r="C200" s="1">
        <v>202</v>
      </c>
      <c r="D200" s="1">
        <f t="shared" si="7"/>
        <v>1</v>
      </c>
      <c r="E200" s="24" t="s">
        <v>133</v>
      </c>
      <c r="F200" s="5" t="s">
        <v>11</v>
      </c>
      <c r="G200" s="9" t="s">
        <v>14</v>
      </c>
      <c r="H200" s="7" t="s">
        <v>376</v>
      </c>
    </row>
    <row r="201" spans="1:8" ht="24" x14ac:dyDescent="0.25">
      <c r="A201" s="1">
        <v>11</v>
      </c>
      <c r="B201" s="1">
        <v>2</v>
      </c>
      <c r="C201" s="1">
        <v>203</v>
      </c>
      <c r="D201" s="1">
        <f t="shared" si="7"/>
        <v>1</v>
      </c>
      <c r="E201" s="24" t="s">
        <v>383</v>
      </c>
      <c r="F201" s="5" t="s">
        <v>144</v>
      </c>
      <c r="G201" s="9" t="s">
        <v>14</v>
      </c>
      <c r="H201" s="7" t="s">
        <v>384</v>
      </c>
    </row>
    <row r="202" spans="1:8" x14ac:dyDescent="0.25">
      <c r="A202" s="1">
        <v>11</v>
      </c>
      <c r="B202" s="1">
        <v>2</v>
      </c>
      <c r="C202" s="1">
        <v>204</v>
      </c>
      <c r="D202" s="1">
        <f t="shared" si="7"/>
        <v>1</v>
      </c>
      <c r="E202" s="24" t="s">
        <v>146</v>
      </c>
      <c r="F202" s="5" t="s">
        <v>385</v>
      </c>
      <c r="G202" s="9" t="s">
        <v>14</v>
      </c>
      <c r="H202" s="7" t="s">
        <v>386</v>
      </c>
    </row>
    <row r="203" spans="1:8" x14ac:dyDescent="0.25">
      <c r="A203" s="1">
        <v>11</v>
      </c>
      <c r="B203" s="1">
        <v>2</v>
      </c>
      <c r="C203" s="1">
        <v>205</v>
      </c>
      <c r="D203" s="1">
        <f t="shared" si="7"/>
        <v>1</v>
      </c>
      <c r="E203" s="24" t="s">
        <v>138</v>
      </c>
      <c r="F203" s="5" t="s">
        <v>11</v>
      </c>
      <c r="G203" s="9" t="s">
        <v>14</v>
      </c>
      <c r="H203" s="7" t="s">
        <v>390</v>
      </c>
    </row>
    <row r="204" spans="1:8" x14ac:dyDescent="0.25">
      <c r="A204" s="1">
        <v>11</v>
      </c>
      <c r="B204" s="1">
        <v>3</v>
      </c>
      <c r="C204" s="1">
        <v>206</v>
      </c>
      <c r="D204" s="1">
        <f t="shared" si="7"/>
        <v>1</v>
      </c>
      <c r="E204" s="24" t="s">
        <v>379</v>
      </c>
      <c r="F204" s="5" t="s">
        <v>11</v>
      </c>
      <c r="G204" s="17" t="s">
        <v>100</v>
      </c>
      <c r="H204" s="7" t="s">
        <v>380</v>
      </c>
    </row>
    <row r="205" spans="1:8" x14ac:dyDescent="0.25">
      <c r="A205" s="1">
        <v>11</v>
      </c>
      <c r="B205" s="1">
        <v>3</v>
      </c>
      <c r="C205" s="1">
        <v>207</v>
      </c>
      <c r="D205" s="1">
        <f t="shared" si="7"/>
        <v>1</v>
      </c>
      <c r="E205" s="24" t="s">
        <v>157</v>
      </c>
      <c r="F205" s="5" t="s">
        <v>158</v>
      </c>
      <c r="G205" s="17" t="s">
        <v>100</v>
      </c>
      <c r="H205" s="7" t="s">
        <v>381</v>
      </c>
    </row>
    <row r="206" spans="1:8" x14ac:dyDescent="0.25">
      <c r="A206" s="1">
        <v>11</v>
      </c>
      <c r="B206" s="1">
        <v>3</v>
      </c>
      <c r="C206" s="1">
        <v>208</v>
      </c>
      <c r="D206" s="1">
        <f t="shared" si="7"/>
        <v>1</v>
      </c>
      <c r="E206" s="24" t="s">
        <v>160</v>
      </c>
      <c r="F206" s="5" t="s">
        <v>158</v>
      </c>
      <c r="G206" s="17" t="s">
        <v>100</v>
      </c>
      <c r="H206" s="7" t="s">
        <v>382</v>
      </c>
    </row>
    <row r="207" spans="1:8" x14ac:dyDescent="0.25">
      <c r="A207" s="1">
        <v>11</v>
      </c>
      <c r="B207" s="1" t="s">
        <v>619</v>
      </c>
      <c r="C207" s="1">
        <v>209</v>
      </c>
      <c r="D207" s="1">
        <f t="shared" si="7"/>
        <v>0</v>
      </c>
      <c r="E207" s="12"/>
      <c r="F207" s="10"/>
      <c r="G207" s="11"/>
      <c r="H207" s="12"/>
    </row>
    <row r="208" spans="1:8" ht="24" x14ac:dyDescent="0.25">
      <c r="A208" s="1">
        <v>11</v>
      </c>
      <c r="B208" s="1" t="s">
        <v>619</v>
      </c>
      <c r="C208" s="1">
        <v>210</v>
      </c>
      <c r="D208" s="1">
        <f t="shared" si="7"/>
        <v>2</v>
      </c>
      <c r="E208" s="25" t="s">
        <v>609</v>
      </c>
      <c r="F208" s="10"/>
      <c r="G208" s="11"/>
      <c r="H208" s="12"/>
    </row>
    <row r="209" spans="1:8" x14ac:dyDescent="0.25">
      <c r="A209" s="1">
        <v>12</v>
      </c>
      <c r="B209" s="1">
        <v>1</v>
      </c>
      <c r="C209" s="1">
        <v>211</v>
      </c>
      <c r="D209" s="1">
        <f t="shared" si="7"/>
        <v>1</v>
      </c>
      <c r="E209" s="27" t="s">
        <v>391</v>
      </c>
      <c r="F209" s="13" t="s">
        <v>392</v>
      </c>
      <c r="G209" s="8" t="s">
        <v>2</v>
      </c>
      <c r="H209" s="14" t="s">
        <v>393</v>
      </c>
    </row>
    <row r="210" spans="1:8" x14ac:dyDescent="0.25">
      <c r="A210" s="1">
        <v>12</v>
      </c>
      <c r="B210" s="1">
        <v>1</v>
      </c>
      <c r="C210" s="1">
        <v>212</v>
      </c>
      <c r="D210" s="1">
        <f t="shared" si="7"/>
        <v>1</v>
      </c>
      <c r="E210" s="24" t="s">
        <v>407</v>
      </c>
      <c r="F210" s="5" t="s">
        <v>408</v>
      </c>
      <c r="G210" s="6" t="s">
        <v>2</v>
      </c>
      <c r="H210" s="7" t="s">
        <v>409</v>
      </c>
    </row>
    <row r="211" spans="1:8" x14ac:dyDescent="0.25">
      <c r="A211" s="1">
        <v>12</v>
      </c>
      <c r="B211" s="1">
        <v>2</v>
      </c>
      <c r="C211" s="1">
        <v>213</v>
      </c>
      <c r="D211" s="1">
        <f t="shared" si="7"/>
        <v>1</v>
      </c>
      <c r="E211" s="24" t="s">
        <v>394</v>
      </c>
      <c r="F211" s="5" t="s">
        <v>128</v>
      </c>
      <c r="G211" s="9" t="s">
        <v>14</v>
      </c>
      <c r="H211" s="7" t="s">
        <v>395</v>
      </c>
    </row>
    <row r="212" spans="1:8" x14ac:dyDescent="0.25">
      <c r="A212" s="1">
        <v>12</v>
      </c>
      <c r="B212" s="1">
        <v>2</v>
      </c>
      <c r="C212" s="1">
        <v>214</v>
      </c>
      <c r="D212" s="1">
        <f t="shared" si="7"/>
        <v>1</v>
      </c>
      <c r="E212" s="24" t="s">
        <v>396</v>
      </c>
      <c r="F212" s="5" t="s">
        <v>397</v>
      </c>
      <c r="G212" s="9" t="s">
        <v>14</v>
      </c>
      <c r="H212" s="7" t="s">
        <v>398</v>
      </c>
    </row>
    <row r="213" spans="1:8" x14ac:dyDescent="0.25">
      <c r="A213" s="1">
        <v>12</v>
      </c>
      <c r="B213" s="1">
        <v>2</v>
      </c>
      <c r="C213" s="1">
        <v>215</v>
      </c>
      <c r="D213" s="1">
        <f t="shared" si="7"/>
        <v>1</v>
      </c>
      <c r="E213" s="24" t="s">
        <v>399</v>
      </c>
      <c r="F213" s="5" t="s">
        <v>385</v>
      </c>
      <c r="G213" s="9" t="s">
        <v>14</v>
      </c>
      <c r="H213" s="7" t="s">
        <v>400</v>
      </c>
    </row>
    <row r="214" spans="1:8" x14ac:dyDescent="0.25">
      <c r="A214" s="1">
        <v>12</v>
      </c>
      <c r="B214" s="1">
        <v>2</v>
      </c>
      <c r="C214" s="1">
        <v>216</v>
      </c>
      <c r="D214" s="1">
        <f t="shared" si="7"/>
        <v>1</v>
      </c>
      <c r="E214" s="24" t="s">
        <v>403</v>
      </c>
      <c r="F214" s="5" t="s">
        <v>8</v>
      </c>
      <c r="G214" s="9" t="s">
        <v>14</v>
      </c>
      <c r="H214" s="7" t="s">
        <v>404</v>
      </c>
    </row>
    <row r="215" spans="1:8" x14ac:dyDescent="0.25">
      <c r="A215" s="1">
        <v>12</v>
      </c>
      <c r="B215" s="1">
        <v>2</v>
      </c>
      <c r="C215" s="1">
        <v>217</v>
      </c>
      <c r="D215" s="1">
        <f t="shared" si="7"/>
        <v>1</v>
      </c>
      <c r="E215" s="24" t="s">
        <v>405</v>
      </c>
      <c r="F215" s="5" t="s">
        <v>8</v>
      </c>
      <c r="G215" s="9" t="s">
        <v>14</v>
      </c>
      <c r="H215" s="7" t="s">
        <v>406</v>
      </c>
    </row>
    <row r="216" spans="1:8" x14ac:dyDescent="0.25">
      <c r="A216" s="1">
        <v>12</v>
      </c>
      <c r="B216" s="1">
        <v>2</v>
      </c>
      <c r="C216" s="1">
        <v>218</v>
      </c>
      <c r="D216" s="1">
        <f t="shared" si="7"/>
        <v>1</v>
      </c>
      <c r="E216" s="24" t="s">
        <v>410</v>
      </c>
      <c r="F216" s="5" t="s">
        <v>411</v>
      </c>
      <c r="G216" s="9" t="s">
        <v>14</v>
      </c>
      <c r="H216" s="7" t="s">
        <v>412</v>
      </c>
    </row>
    <row r="217" spans="1:8" x14ac:dyDescent="0.25">
      <c r="A217" s="1">
        <v>12</v>
      </c>
      <c r="B217" s="1">
        <v>3</v>
      </c>
      <c r="C217" s="1">
        <v>219</v>
      </c>
      <c r="D217" s="1">
        <f t="shared" si="7"/>
        <v>1</v>
      </c>
      <c r="E217" s="24" t="s">
        <v>401</v>
      </c>
      <c r="F217" s="5" t="s">
        <v>158</v>
      </c>
      <c r="G217" s="17" t="s">
        <v>100</v>
      </c>
      <c r="H217" s="7" t="s">
        <v>402</v>
      </c>
    </row>
    <row r="218" spans="1:8" ht="3" customHeight="1" x14ac:dyDescent="0.25">
      <c r="A218" s="1">
        <v>12</v>
      </c>
      <c r="B218" s="1" t="s">
        <v>619</v>
      </c>
      <c r="C218" s="1">
        <v>220</v>
      </c>
      <c r="D218" s="1">
        <f t="shared" si="7"/>
        <v>0</v>
      </c>
      <c r="E218" s="12"/>
      <c r="F218" s="10"/>
      <c r="G218" s="11"/>
      <c r="H218" s="12"/>
    </row>
    <row r="219" spans="1:8" ht="24" x14ac:dyDescent="0.25">
      <c r="A219" s="1">
        <v>12</v>
      </c>
      <c r="B219" s="1" t="s">
        <v>619</v>
      </c>
      <c r="C219" s="1">
        <v>221</v>
      </c>
      <c r="D219" s="1">
        <f t="shared" si="7"/>
        <v>2</v>
      </c>
      <c r="E219" s="25" t="s">
        <v>610</v>
      </c>
      <c r="F219" s="10"/>
      <c r="G219" s="11"/>
      <c r="H219" s="12"/>
    </row>
    <row r="220" spans="1:8" x14ac:dyDescent="0.25">
      <c r="A220" s="1">
        <v>13</v>
      </c>
      <c r="B220" s="1">
        <v>1</v>
      </c>
      <c r="C220" s="1">
        <v>222</v>
      </c>
      <c r="D220" s="1">
        <f t="shared" si="7"/>
        <v>1</v>
      </c>
      <c r="E220" s="24" t="s">
        <v>413</v>
      </c>
      <c r="F220" s="5" t="s">
        <v>17</v>
      </c>
      <c r="G220" s="6" t="s">
        <v>2</v>
      </c>
      <c r="H220" s="7" t="s">
        <v>414</v>
      </c>
    </row>
    <row r="221" spans="1:8" x14ac:dyDescent="0.25">
      <c r="A221" s="1">
        <v>13</v>
      </c>
      <c r="B221" s="1">
        <v>1</v>
      </c>
      <c r="C221" s="1">
        <v>223</v>
      </c>
      <c r="D221" s="1">
        <f t="shared" si="7"/>
        <v>1</v>
      </c>
      <c r="E221" s="24" t="s">
        <v>242</v>
      </c>
      <c r="F221" s="5" t="s">
        <v>17</v>
      </c>
      <c r="G221" s="6" t="s">
        <v>2</v>
      </c>
      <c r="H221" s="7" t="s">
        <v>415</v>
      </c>
    </row>
    <row r="222" spans="1:8" x14ac:dyDescent="0.25">
      <c r="A222" s="1">
        <v>13</v>
      </c>
      <c r="B222" s="1">
        <v>1</v>
      </c>
      <c r="C222" s="1">
        <v>224</v>
      </c>
      <c r="D222" s="1">
        <f t="shared" si="7"/>
        <v>1</v>
      </c>
      <c r="E222" s="24" t="s">
        <v>416</v>
      </c>
      <c r="F222" s="5" t="s">
        <v>17</v>
      </c>
      <c r="G222" s="6" t="s">
        <v>2</v>
      </c>
      <c r="H222" s="7" t="s">
        <v>417</v>
      </c>
    </row>
    <row r="223" spans="1:8" x14ac:dyDescent="0.25">
      <c r="A223" s="1">
        <v>13</v>
      </c>
      <c r="B223" s="1">
        <v>1</v>
      </c>
      <c r="C223" s="1">
        <v>225</v>
      </c>
      <c r="D223" s="1">
        <f t="shared" si="7"/>
        <v>1</v>
      </c>
      <c r="E223" s="24" t="s">
        <v>254</v>
      </c>
      <c r="F223" s="5" t="s">
        <v>17</v>
      </c>
      <c r="G223" s="6" t="s">
        <v>2</v>
      </c>
      <c r="H223" s="7" t="s">
        <v>420</v>
      </c>
    </row>
    <row r="224" spans="1:8" x14ac:dyDescent="0.25">
      <c r="A224" s="1">
        <v>13</v>
      </c>
      <c r="B224" s="1">
        <v>1</v>
      </c>
      <c r="C224" s="1">
        <v>226</v>
      </c>
      <c r="D224" s="1">
        <f t="shared" si="7"/>
        <v>1</v>
      </c>
      <c r="E224" s="24" t="s">
        <v>428</v>
      </c>
      <c r="F224" s="5" t="s">
        <v>264</v>
      </c>
      <c r="G224" s="6" t="s">
        <v>2</v>
      </c>
      <c r="H224" s="7" t="s">
        <v>429</v>
      </c>
    </row>
    <row r="225" spans="1:8" x14ac:dyDescent="0.25">
      <c r="A225" s="1">
        <v>13</v>
      </c>
      <c r="B225" s="1">
        <v>1</v>
      </c>
      <c r="C225" s="1">
        <v>227</v>
      </c>
      <c r="D225" s="1">
        <f t="shared" si="7"/>
        <v>1</v>
      </c>
      <c r="E225" s="27" t="s">
        <v>259</v>
      </c>
      <c r="F225" s="13" t="s">
        <v>17</v>
      </c>
      <c r="G225" s="8" t="s">
        <v>2</v>
      </c>
      <c r="H225" s="14" t="s">
        <v>430</v>
      </c>
    </row>
    <row r="226" spans="1:8" x14ac:dyDescent="0.25">
      <c r="A226" s="1">
        <v>13</v>
      </c>
      <c r="B226" s="1">
        <v>1</v>
      </c>
      <c r="C226" s="1">
        <v>228</v>
      </c>
      <c r="D226" s="1">
        <f t="shared" si="7"/>
        <v>1</v>
      </c>
      <c r="E226" s="24" t="s">
        <v>292</v>
      </c>
      <c r="F226" s="5" t="s">
        <v>55</v>
      </c>
      <c r="G226" s="6" t="s">
        <v>2</v>
      </c>
      <c r="H226" s="7" t="s">
        <v>431</v>
      </c>
    </row>
    <row r="227" spans="1:8" x14ac:dyDescent="0.25">
      <c r="A227" s="1">
        <v>13</v>
      </c>
      <c r="B227" s="1">
        <v>2</v>
      </c>
      <c r="C227" s="1">
        <v>229</v>
      </c>
      <c r="D227" s="1">
        <f t="shared" si="7"/>
        <v>1</v>
      </c>
      <c r="E227" s="24" t="s">
        <v>418</v>
      </c>
      <c r="F227" s="5" t="s">
        <v>85</v>
      </c>
      <c r="G227" s="9" t="s">
        <v>14</v>
      </c>
      <c r="H227" s="7" t="s">
        <v>419</v>
      </c>
    </row>
    <row r="228" spans="1:8" x14ac:dyDescent="0.25">
      <c r="A228" s="1">
        <v>13</v>
      </c>
      <c r="B228" s="1">
        <v>2</v>
      </c>
      <c r="C228" s="1">
        <v>230</v>
      </c>
      <c r="D228" s="1">
        <f t="shared" si="7"/>
        <v>1</v>
      </c>
      <c r="E228" s="24" t="s">
        <v>256</v>
      </c>
      <c r="F228" s="5" t="s">
        <v>421</v>
      </c>
      <c r="G228" s="9" t="s">
        <v>14</v>
      </c>
      <c r="H228" s="7" t="s">
        <v>422</v>
      </c>
    </row>
    <row r="229" spans="1:8" x14ac:dyDescent="0.25">
      <c r="A229" s="1">
        <v>13</v>
      </c>
      <c r="B229" s="1">
        <v>2</v>
      </c>
      <c r="C229" s="1">
        <v>231</v>
      </c>
      <c r="D229" s="1">
        <f t="shared" si="7"/>
        <v>1</v>
      </c>
      <c r="E229" s="24" t="s">
        <v>246</v>
      </c>
      <c r="F229" s="5" t="s">
        <v>247</v>
      </c>
      <c r="G229" s="9" t="s">
        <v>14</v>
      </c>
      <c r="H229" s="7" t="s">
        <v>423</v>
      </c>
    </row>
    <row r="230" spans="1:8" x14ac:dyDescent="0.25">
      <c r="A230" s="1">
        <v>13</v>
      </c>
      <c r="B230" s="1">
        <v>2</v>
      </c>
      <c r="C230" s="1">
        <v>232</v>
      </c>
      <c r="D230" s="1">
        <f t="shared" si="7"/>
        <v>1</v>
      </c>
      <c r="E230" s="24" t="s">
        <v>249</v>
      </c>
      <c r="F230" s="5" t="s">
        <v>250</v>
      </c>
      <c r="G230" s="9" t="s">
        <v>14</v>
      </c>
      <c r="H230" s="7" t="s">
        <v>424</v>
      </c>
    </row>
    <row r="231" spans="1:8" x14ac:dyDescent="0.25">
      <c r="A231" s="1">
        <v>13</v>
      </c>
      <c r="B231" s="1">
        <v>2</v>
      </c>
      <c r="C231" s="1">
        <v>233</v>
      </c>
      <c r="D231" s="1">
        <f t="shared" si="7"/>
        <v>1</v>
      </c>
      <c r="E231" s="24" t="s">
        <v>65</v>
      </c>
      <c r="F231" s="5" t="s">
        <v>66</v>
      </c>
      <c r="G231" s="9" t="s">
        <v>14</v>
      </c>
      <c r="H231" s="7" t="s">
        <v>425</v>
      </c>
    </row>
    <row r="232" spans="1:8" x14ac:dyDescent="0.25">
      <c r="A232" s="1">
        <v>13</v>
      </c>
      <c r="B232" s="1">
        <v>2</v>
      </c>
      <c r="C232" s="1">
        <v>234</v>
      </c>
      <c r="D232" s="1">
        <f t="shared" si="7"/>
        <v>1</v>
      </c>
      <c r="E232" s="24" t="s">
        <v>426</v>
      </c>
      <c r="F232" s="5" t="s">
        <v>11</v>
      </c>
      <c r="G232" s="9" t="s">
        <v>14</v>
      </c>
      <c r="H232" s="7" t="s">
        <v>427</v>
      </c>
    </row>
    <row r="233" spans="1:8" x14ac:dyDescent="0.25">
      <c r="A233" s="1">
        <v>13</v>
      </c>
      <c r="B233" s="1" t="s">
        <v>619</v>
      </c>
      <c r="C233" s="1">
        <v>235</v>
      </c>
      <c r="D233" s="1">
        <f t="shared" si="7"/>
        <v>0</v>
      </c>
      <c r="E233" s="12"/>
      <c r="F233" s="10"/>
      <c r="G233" s="11"/>
      <c r="H233" s="12"/>
    </row>
    <row r="234" spans="1:8" ht="24" x14ac:dyDescent="0.25">
      <c r="A234" s="1">
        <v>13</v>
      </c>
      <c r="B234" s="1" t="s">
        <v>619</v>
      </c>
      <c r="C234" s="1">
        <v>236</v>
      </c>
      <c r="D234" s="1">
        <f t="shared" si="7"/>
        <v>2</v>
      </c>
      <c r="E234" s="25" t="s">
        <v>611</v>
      </c>
      <c r="F234" s="10"/>
      <c r="G234" s="11"/>
      <c r="H234" s="12"/>
    </row>
    <row r="235" spans="1:8" x14ac:dyDescent="0.25">
      <c r="A235" s="1">
        <v>14</v>
      </c>
      <c r="B235" s="1">
        <v>0</v>
      </c>
      <c r="C235" s="1">
        <v>237</v>
      </c>
      <c r="D235" s="1">
        <f t="shared" si="7"/>
        <v>1</v>
      </c>
      <c r="E235" s="24" t="s">
        <v>239</v>
      </c>
      <c r="F235" s="5" t="s">
        <v>240</v>
      </c>
      <c r="G235" s="18" t="s">
        <v>164</v>
      </c>
      <c r="H235" s="7" t="s">
        <v>432</v>
      </c>
    </row>
    <row r="236" spans="1:8" x14ac:dyDescent="0.25">
      <c r="A236" s="1">
        <v>14</v>
      </c>
      <c r="B236" s="1">
        <v>0</v>
      </c>
      <c r="C236" s="1">
        <v>238</v>
      </c>
      <c r="D236" s="1">
        <f t="shared" si="7"/>
        <v>1</v>
      </c>
      <c r="E236" s="24" t="s">
        <v>433</v>
      </c>
      <c r="F236" s="5" t="s">
        <v>434</v>
      </c>
      <c r="G236" s="18" t="s">
        <v>164</v>
      </c>
      <c r="H236" s="7" t="s">
        <v>435</v>
      </c>
    </row>
    <row r="237" spans="1:8" x14ac:dyDescent="0.25">
      <c r="A237" s="1">
        <v>14</v>
      </c>
      <c r="B237" s="1">
        <v>0</v>
      </c>
      <c r="C237" s="1">
        <v>239</v>
      </c>
      <c r="D237" s="1">
        <f t="shared" si="7"/>
        <v>1</v>
      </c>
      <c r="E237" s="24" t="s">
        <v>227</v>
      </c>
      <c r="F237" s="5" t="s">
        <v>439</v>
      </c>
      <c r="G237" s="18" t="s">
        <v>164</v>
      </c>
      <c r="H237" s="7" t="s">
        <v>440</v>
      </c>
    </row>
    <row r="238" spans="1:8" x14ac:dyDescent="0.25">
      <c r="A238" s="1">
        <v>14</v>
      </c>
      <c r="B238" s="1">
        <v>2</v>
      </c>
      <c r="C238" s="1">
        <v>240</v>
      </c>
      <c r="D238" s="1">
        <f t="shared" si="7"/>
        <v>1</v>
      </c>
      <c r="E238" s="27" t="s">
        <v>236</v>
      </c>
      <c r="F238" s="13" t="s">
        <v>237</v>
      </c>
      <c r="G238" s="15" t="s">
        <v>14</v>
      </c>
      <c r="H238" s="14" t="s">
        <v>436</v>
      </c>
    </row>
    <row r="239" spans="1:8" x14ac:dyDescent="0.25">
      <c r="A239" s="1">
        <v>14</v>
      </c>
      <c r="B239" s="1">
        <v>2</v>
      </c>
      <c r="C239" s="1">
        <v>241</v>
      </c>
      <c r="D239" s="1">
        <f t="shared" si="7"/>
        <v>1</v>
      </c>
      <c r="E239" s="24" t="s">
        <v>230</v>
      </c>
      <c r="F239" s="5" t="s">
        <v>231</v>
      </c>
      <c r="G239" s="9" t="s">
        <v>14</v>
      </c>
      <c r="H239" s="7" t="s">
        <v>437</v>
      </c>
    </row>
    <row r="240" spans="1:8" x14ac:dyDescent="0.25">
      <c r="A240" s="1">
        <v>14</v>
      </c>
      <c r="B240" s="1">
        <v>2</v>
      </c>
      <c r="C240" s="1">
        <v>242</v>
      </c>
      <c r="D240" s="1">
        <f t="shared" si="7"/>
        <v>1</v>
      </c>
      <c r="E240" s="24" t="s">
        <v>200</v>
      </c>
      <c r="F240" s="5" t="s">
        <v>201</v>
      </c>
      <c r="G240" s="9" t="s">
        <v>14</v>
      </c>
      <c r="H240" s="7" t="s">
        <v>438</v>
      </c>
    </row>
    <row r="241" spans="1:8" x14ac:dyDescent="0.25">
      <c r="A241" s="1">
        <v>14</v>
      </c>
      <c r="B241" s="1">
        <v>2</v>
      </c>
      <c r="C241" s="1">
        <v>243</v>
      </c>
      <c r="D241" s="1">
        <f t="shared" ref="D241:D304" si="8">IF(E241="",0,IF(E240="",2,1))</f>
        <v>1</v>
      </c>
      <c r="E241" s="24" t="s">
        <v>441</v>
      </c>
      <c r="F241" s="5" t="s">
        <v>442</v>
      </c>
      <c r="G241" s="9" t="s">
        <v>14</v>
      </c>
      <c r="H241" s="7" t="s">
        <v>443</v>
      </c>
    </row>
    <row r="242" spans="1:8" x14ac:dyDescent="0.25">
      <c r="A242" s="1">
        <v>14</v>
      </c>
      <c r="B242" s="1">
        <v>2</v>
      </c>
      <c r="C242" s="1">
        <v>244</v>
      </c>
      <c r="D242" s="1">
        <f t="shared" si="8"/>
        <v>1</v>
      </c>
      <c r="E242" s="24" t="s">
        <v>444</v>
      </c>
      <c r="F242" s="5" t="s">
        <v>445</v>
      </c>
      <c r="G242" s="9" t="s">
        <v>14</v>
      </c>
      <c r="H242" s="7" t="s">
        <v>446</v>
      </c>
    </row>
    <row r="243" spans="1:8" x14ac:dyDescent="0.25">
      <c r="A243" s="1">
        <v>14</v>
      </c>
      <c r="B243" s="1">
        <v>3</v>
      </c>
      <c r="C243" s="1">
        <v>245</v>
      </c>
      <c r="D243" s="1">
        <f t="shared" si="8"/>
        <v>1</v>
      </c>
      <c r="E243" s="24" t="s">
        <v>233</v>
      </c>
      <c r="F243" s="5" t="s">
        <v>234</v>
      </c>
      <c r="G243" s="17" t="s">
        <v>100</v>
      </c>
      <c r="H243" s="7" t="s">
        <v>235</v>
      </c>
    </row>
    <row r="244" spans="1:8" x14ac:dyDescent="0.25">
      <c r="A244" s="1">
        <v>14</v>
      </c>
      <c r="B244" s="1">
        <v>3</v>
      </c>
      <c r="C244" s="1">
        <v>246</v>
      </c>
      <c r="D244" s="1">
        <f t="shared" si="8"/>
        <v>1</v>
      </c>
      <c r="E244" s="24" t="s">
        <v>447</v>
      </c>
      <c r="F244" s="5" t="s">
        <v>448</v>
      </c>
      <c r="G244" s="17" t="s">
        <v>100</v>
      </c>
      <c r="H244" s="7" t="s">
        <v>449</v>
      </c>
    </row>
    <row r="245" spans="1:8" x14ac:dyDescent="0.25">
      <c r="A245" s="1">
        <v>14</v>
      </c>
      <c r="B245" s="1" t="s">
        <v>619</v>
      </c>
      <c r="C245" s="1">
        <v>247</v>
      </c>
      <c r="D245" s="1">
        <f t="shared" si="8"/>
        <v>0</v>
      </c>
      <c r="E245" s="12"/>
      <c r="F245" s="10"/>
      <c r="G245" s="11"/>
      <c r="H245" s="12"/>
    </row>
    <row r="246" spans="1:8" ht="24" x14ac:dyDescent="0.25">
      <c r="A246" s="1">
        <v>14</v>
      </c>
      <c r="B246" s="1" t="s">
        <v>619</v>
      </c>
      <c r="C246" s="1">
        <v>248</v>
      </c>
      <c r="D246" s="1">
        <f t="shared" si="8"/>
        <v>2</v>
      </c>
      <c r="E246" s="25" t="s">
        <v>612</v>
      </c>
      <c r="F246" s="10"/>
      <c r="G246" s="11"/>
      <c r="H246" s="12"/>
    </row>
    <row r="247" spans="1:8" x14ac:dyDescent="0.25">
      <c r="A247" s="1">
        <v>15</v>
      </c>
      <c r="B247" s="1">
        <v>1</v>
      </c>
      <c r="C247" s="1">
        <v>249</v>
      </c>
      <c r="D247" s="1">
        <f t="shared" si="8"/>
        <v>1</v>
      </c>
      <c r="E247" s="24" t="s">
        <v>460</v>
      </c>
      <c r="F247" s="5" t="s">
        <v>385</v>
      </c>
      <c r="G247" s="6" t="s">
        <v>2</v>
      </c>
      <c r="H247" s="7" t="s">
        <v>461</v>
      </c>
    </row>
    <row r="248" spans="1:8" x14ac:dyDescent="0.25">
      <c r="A248" s="1">
        <v>15</v>
      </c>
      <c r="B248" s="1">
        <v>2</v>
      </c>
      <c r="C248" s="1">
        <v>250</v>
      </c>
      <c r="D248" s="1">
        <f t="shared" si="8"/>
        <v>1</v>
      </c>
      <c r="E248" s="24" t="s">
        <v>149</v>
      </c>
      <c r="F248" s="5" t="s">
        <v>144</v>
      </c>
      <c r="G248" s="9" t="s">
        <v>14</v>
      </c>
      <c r="H248" s="7" t="s">
        <v>450</v>
      </c>
    </row>
    <row r="249" spans="1:8" x14ac:dyDescent="0.25">
      <c r="A249" s="1">
        <v>15</v>
      </c>
      <c r="B249" s="1">
        <v>2</v>
      </c>
      <c r="C249" s="1">
        <v>251</v>
      </c>
      <c r="D249" s="1">
        <f t="shared" si="8"/>
        <v>1</v>
      </c>
      <c r="E249" s="24" t="s">
        <v>451</v>
      </c>
      <c r="F249" s="5" t="s">
        <v>158</v>
      </c>
      <c r="G249" s="9" t="s">
        <v>14</v>
      </c>
      <c r="H249" s="7" t="s">
        <v>452</v>
      </c>
    </row>
    <row r="250" spans="1:8" x14ac:dyDescent="0.25">
      <c r="A250" s="1">
        <v>15</v>
      </c>
      <c r="B250" s="1">
        <v>2</v>
      </c>
      <c r="C250" s="1">
        <v>252</v>
      </c>
      <c r="D250" s="1">
        <f t="shared" si="8"/>
        <v>1</v>
      </c>
      <c r="E250" s="24" t="s">
        <v>455</v>
      </c>
      <c r="F250" s="5" t="s">
        <v>158</v>
      </c>
      <c r="G250" s="9" t="s">
        <v>14</v>
      </c>
      <c r="H250" s="7" t="s">
        <v>456</v>
      </c>
    </row>
    <row r="251" spans="1:8" x14ac:dyDescent="0.25">
      <c r="A251" s="1">
        <v>15</v>
      </c>
      <c r="B251" s="1">
        <v>2</v>
      </c>
      <c r="C251" s="1">
        <v>253</v>
      </c>
      <c r="D251" s="1">
        <f t="shared" si="8"/>
        <v>1</v>
      </c>
      <c r="E251" s="27" t="s">
        <v>457</v>
      </c>
      <c r="F251" s="13" t="s">
        <v>158</v>
      </c>
      <c r="G251" s="15" t="s">
        <v>14</v>
      </c>
      <c r="H251" s="14" t="s">
        <v>458</v>
      </c>
    </row>
    <row r="252" spans="1:8" x14ac:dyDescent="0.25">
      <c r="A252" s="1">
        <v>15</v>
      </c>
      <c r="B252" s="1">
        <v>2</v>
      </c>
      <c r="C252" s="1">
        <v>254</v>
      </c>
      <c r="D252" s="1">
        <f t="shared" si="8"/>
        <v>1</v>
      </c>
      <c r="E252" s="24" t="s">
        <v>462</v>
      </c>
      <c r="F252" s="5" t="s">
        <v>158</v>
      </c>
      <c r="G252" s="9" t="s">
        <v>14</v>
      </c>
      <c r="H252" s="7" t="s">
        <v>463</v>
      </c>
    </row>
    <row r="253" spans="1:8" x14ac:dyDescent="0.25">
      <c r="A253" s="1">
        <v>15</v>
      </c>
      <c r="B253" s="1">
        <v>3</v>
      </c>
      <c r="C253" s="1">
        <v>255</v>
      </c>
      <c r="D253" s="1">
        <f t="shared" si="8"/>
        <v>1</v>
      </c>
      <c r="E253" s="24" t="s">
        <v>453</v>
      </c>
      <c r="F253" s="5" t="s">
        <v>153</v>
      </c>
      <c r="G253" s="17" t="s">
        <v>100</v>
      </c>
      <c r="H253" s="7" t="s">
        <v>454</v>
      </c>
    </row>
    <row r="254" spans="1:8" x14ac:dyDescent="0.25">
      <c r="A254" s="1">
        <v>15</v>
      </c>
      <c r="B254" s="1">
        <v>3</v>
      </c>
      <c r="C254" s="1">
        <v>256</v>
      </c>
      <c r="D254" s="1">
        <f t="shared" si="8"/>
        <v>1</v>
      </c>
      <c r="E254" s="24" t="s">
        <v>368</v>
      </c>
      <c r="F254" s="5" t="s">
        <v>144</v>
      </c>
      <c r="G254" s="17" t="s">
        <v>100</v>
      </c>
      <c r="H254" s="7" t="s">
        <v>459</v>
      </c>
    </row>
    <row r="255" spans="1:8" x14ac:dyDescent="0.25">
      <c r="A255" s="1">
        <v>15</v>
      </c>
      <c r="B255" s="1">
        <v>3</v>
      </c>
      <c r="C255" s="1">
        <v>257</v>
      </c>
      <c r="D255" s="1">
        <f t="shared" si="8"/>
        <v>1</v>
      </c>
      <c r="E255" s="24" t="s">
        <v>464</v>
      </c>
      <c r="F255" s="5" t="s">
        <v>158</v>
      </c>
      <c r="G255" s="17" t="s">
        <v>100</v>
      </c>
      <c r="H255" s="7" t="s">
        <v>465</v>
      </c>
    </row>
    <row r="256" spans="1:8" x14ac:dyDescent="0.25">
      <c r="A256" s="1">
        <v>15</v>
      </c>
      <c r="B256" s="1" t="s">
        <v>619</v>
      </c>
      <c r="C256" s="1">
        <v>258</v>
      </c>
      <c r="D256" s="1">
        <f t="shared" si="8"/>
        <v>1</v>
      </c>
      <c r="E256" s="24" t="s">
        <v>466</v>
      </c>
      <c r="F256" s="5" t="s">
        <v>153</v>
      </c>
      <c r="G256" s="21" t="s">
        <v>347</v>
      </c>
      <c r="H256" s="7" t="s">
        <v>467</v>
      </c>
    </row>
    <row r="257" spans="1:8" ht="24" customHeight="1" x14ac:dyDescent="0.25">
      <c r="A257" s="1">
        <v>15</v>
      </c>
      <c r="B257" s="1" t="s">
        <v>619</v>
      </c>
      <c r="C257" s="1">
        <v>259</v>
      </c>
      <c r="D257" s="1">
        <f t="shared" si="8"/>
        <v>0</v>
      </c>
      <c r="E257" s="12"/>
      <c r="F257" s="10"/>
      <c r="G257" s="11"/>
      <c r="H257" s="12"/>
    </row>
    <row r="258" spans="1:8" x14ac:dyDescent="0.25">
      <c r="A258" s="1">
        <v>15</v>
      </c>
      <c r="B258" s="1" t="s">
        <v>619</v>
      </c>
      <c r="C258" s="1">
        <v>260</v>
      </c>
      <c r="D258" s="1">
        <f t="shared" si="8"/>
        <v>2</v>
      </c>
      <c r="E258" s="25" t="s">
        <v>613</v>
      </c>
      <c r="F258" s="10"/>
      <c r="G258" s="11"/>
      <c r="H258" s="12"/>
    </row>
    <row r="259" spans="1:8" x14ac:dyDescent="0.25">
      <c r="A259" s="1">
        <v>16</v>
      </c>
      <c r="B259" s="1">
        <v>2</v>
      </c>
      <c r="C259" s="1">
        <v>261</v>
      </c>
      <c r="D259" s="1">
        <f t="shared" si="8"/>
        <v>1</v>
      </c>
      <c r="E259" s="24" t="s">
        <v>468</v>
      </c>
      <c r="F259" s="5" t="s">
        <v>96</v>
      </c>
      <c r="G259" s="9" t="s">
        <v>14</v>
      </c>
      <c r="H259" s="7" t="s">
        <v>469</v>
      </c>
    </row>
    <row r="260" spans="1:8" x14ac:dyDescent="0.25">
      <c r="A260" s="1">
        <v>16</v>
      </c>
      <c r="B260" s="1">
        <v>2</v>
      </c>
      <c r="C260" s="1">
        <v>262</v>
      </c>
      <c r="D260" s="1">
        <f t="shared" si="8"/>
        <v>1</v>
      </c>
      <c r="E260" s="24" t="s">
        <v>470</v>
      </c>
      <c r="F260" s="5" t="s">
        <v>96</v>
      </c>
      <c r="G260" s="9" t="s">
        <v>14</v>
      </c>
      <c r="H260" s="7" t="s">
        <v>471</v>
      </c>
    </row>
    <row r="261" spans="1:8" x14ac:dyDescent="0.25">
      <c r="A261" s="1">
        <v>16</v>
      </c>
      <c r="B261" s="1">
        <v>2</v>
      </c>
      <c r="C261" s="1">
        <v>263</v>
      </c>
      <c r="D261" s="1">
        <f t="shared" si="8"/>
        <v>1</v>
      </c>
      <c r="E261" s="24" t="s">
        <v>472</v>
      </c>
      <c r="F261" s="5" t="s">
        <v>96</v>
      </c>
      <c r="G261" s="9" t="s">
        <v>14</v>
      </c>
      <c r="H261" s="7" t="s">
        <v>473</v>
      </c>
    </row>
    <row r="262" spans="1:8" x14ac:dyDescent="0.25">
      <c r="A262" s="1">
        <v>16</v>
      </c>
      <c r="B262" s="1">
        <v>2</v>
      </c>
      <c r="C262" s="1">
        <v>264</v>
      </c>
      <c r="D262" s="1">
        <f t="shared" si="8"/>
        <v>1</v>
      </c>
      <c r="E262" s="24" t="s">
        <v>306</v>
      </c>
      <c r="F262" s="5" t="s">
        <v>99</v>
      </c>
      <c r="G262" s="9" t="s">
        <v>14</v>
      </c>
      <c r="H262" s="7" t="s">
        <v>483</v>
      </c>
    </row>
    <row r="263" spans="1:8" x14ac:dyDescent="0.25">
      <c r="A263" s="1">
        <v>16</v>
      </c>
      <c r="B263" s="1">
        <v>3</v>
      </c>
      <c r="C263" s="1">
        <v>265</v>
      </c>
      <c r="D263" s="1">
        <f t="shared" si="8"/>
        <v>1</v>
      </c>
      <c r="E263" s="24" t="s">
        <v>474</v>
      </c>
      <c r="F263" s="5" t="s">
        <v>385</v>
      </c>
      <c r="G263" s="17" t="s">
        <v>100</v>
      </c>
      <c r="H263" s="7" t="s">
        <v>475</v>
      </c>
    </row>
    <row r="264" spans="1:8" x14ac:dyDescent="0.25">
      <c r="A264" s="1">
        <v>16</v>
      </c>
      <c r="B264" s="1">
        <v>3</v>
      </c>
      <c r="C264" s="1">
        <v>266</v>
      </c>
      <c r="D264" s="1">
        <f t="shared" si="8"/>
        <v>1</v>
      </c>
      <c r="E264" s="24" t="s">
        <v>476</v>
      </c>
      <c r="F264" s="5" t="s">
        <v>477</v>
      </c>
      <c r="G264" s="17" t="s">
        <v>100</v>
      </c>
      <c r="H264" s="7" t="s">
        <v>478</v>
      </c>
    </row>
    <row r="265" spans="1:8" x14ac:dyDescent="0.25">
      <c r="A265" s="1">
        <v>16</v>
      </c>
      <c r="B265" s="1">
        <v>3</v>
      </c>
      <c r="C265" s="1">
        <v>267</v>
      </c>
      <c r="D265" s="1">
        <f t="shared" si="8"/>
        <v>1</v>
      </c>
      <c r="E265" s="24" t="s">
        <v>479</v>
      </c>
      <c r="F265" s="5" t="s">
        <v>480</v>
      </c>
      <c r="G265" s="17" t="s">
        <v>100</v>
      </c>
      <c r="H265" s="7" t="s">
        <v>481</v>
      </c>
    </row>
    <row r="266" spans="1:8" x14ac:dyDescent="0.25">
      <c r="A266" s="1">
        <v>16</v>
      </c>
      <c r="B266" s="1">
        <v>3</v>
      </c>
      <c r="C266" s="1">
        <v>268</v>
      </c>
      <c r="D266" s="1">
        <f t="shared" si="8"/>
        <v>1</v>
      </c>
      <c r="E266" s="27" t="s">
        <v>300</v>
      </c>
      <c r="F266" s="13" t="s">
        <v>153</v>
      </c>
      <c r="G266" s="20" t="s">
        <v>100</v>
      </c>
      <c r="H266" s="14" t="s">
        <v>482</v>
      </c>
    </row>
    <row r="267" spans="1:8" x14ac:dyDescent="0.25">
      <c r="A267" s="1">
        <v>16</v>
      </c>
      <c r="B267" s="1">
        <v>3</v>
      </c>
      <c r="C267" s="1">
        <v>269</v>
      </c>
      <c r="D267" s="1">
        <f t="shared" si="8"/>
        <v>1</v>
      </c>
      <c r="E267" s="24" t="s">
        <v>484</v>
      </c>
      <c r="F267" s="5" t="s">
        <v>485</v>
      </c>
      <c r="G267" s="17" t="s">
        <v>100</v>
      </c>
      <c r="H267" s="7" t="s">
        <v>486</v>
      </c>
    </row>
    <row r="268" spans="1:8" x14ac:dyDescent="0.25">
      <c r="A268" s="1">
        <v>16</v>
      </c>
      <c r="B268" s="1">
        <v>3</v>
      </c>
      <c r="C268" s="1">
        <v>270</v>
      </c>
      <c r="D268" s="1">
        <f t="shared" si="8"/>
        <v>1</v>
      </c>
      <c r="E268" s="24" t="s">
        <v>487</v>
      </c>
      <c r="F268" s="5" t="s">
        <v>485</v>
      </c>
      <c r="G268" s="17" t="s">
        <v>100</v>
      </c>
      <c r="H268" s="7" t="s">
        <v>488</v>
      </c>
    </row>
    <row r="269" spans="1:8" x14ac:dyDescent="0.25">
      <c r="A269" s="1">
        <v>16</v>
      </c>
      <c r="B269" s="1">
        <v>3</v>
      </c>
      <c r="C269" s="1">
        <v>271</v>
      </c>
      <c r="D269" s="1">
        <f t="shared" si="8"/>
        <v>1</v>
      </c>
      <c r="E269" s="24" t="s">
        <v>308</v>
      </c>
      <c r="F269" s="5" t="s">
        <v>485</v>
      </c>
      <c r="G269" s="17" t="s">
        <v>100</v>
      </c>
      <c r="H269" s="7" t="s">
        <v>489</v>
      </c>
    </row>
    <row r="270" spans="1:8" x14ac:dyDescent="0.25">
      <c r="A270" s="1">
        <v>16</v>
      </c>
      <c r="B270" s="1">
        <v>3</v>
      </c>
      <c r="C270" s="1">
        <v>272</v>
      </c>
      <c r="D270" s="1">
        <f t="shared" si="8"/>
        <v>1</v>
      </c>
      <c r="E270" s="24" t="s">
        <v>490</v>
      </c>
      <c r="F270" s="5" t="s">
        <v>485</v>
      </c>
      <c r="G270" s="17" t="s">
        <v>100</v>
      </c>
      <c r="H270" s="7" t="s">
        <v>491</v>
      </c>
    </row>
    <row r="271" spans="1:8" x14ac:dyDescent="0.25">
      <c r="A271" s="1">
        <v>16</v>
      </c>
      <c r="B271" s="1" t="s">
        <v>619</v>
      </c>
      <c r="C271" s="1">
        <v>273</v>
      </c>
      <c r="D271" s="1">
        <f t="shared" si="8"/>
        <v>0</v>
      </c>
      <c r="E271" s="12"/>
      <c r="F271" s="10"/>
      <c r="G271" s="11"/>
      <c r="H271" s="12"/>
    </row>
    <row r="272" spans="1:8" x14ac:dyDescent="0.25">
      <c r="A272" s="1">
        <v>16</v>
      </c>
      <c r="B272" s="1" t="s">
        <v>619</v>
      </c>
      <c r="C272" s="1">
        <v>274</v>
      </c>
      <c r="D272" s="1">
        <f t="shared" si="8"/>
        <v>2</v>
      </c>
      <c r="E272" s="25" t="s">
        <v>614</v>
      </c>
      <c r="F272" s="10"/>
      <c r="G272" s="11"/>
      <c r="H272" s="12"/>
    </row>
    <row r="273" spans="1:8" x14ac:dyDescent="0.25">
      <c r="A273" s="1">
        <v>17</v>
      </c>
      <c r="B273" s="1">
        <v>1</v>
      </c>
      <c r="C273" s="1">
        <v>275</v>
      </c>
      <c r="D273" s="1">
        <f t="shared" si="8"/>
        <v>1</v>
      </c>
      <c r="E273" s="24" t="s">
        <v>492</v>
      </c>
      <c r="F273" s="5" t="s">
        <v>144</v>
      </c>
      <c r="G273" s="6" t="s">
        <v>2</v>
      </c>
      <c r="H273" s="7" t="s">
        <v>493</v>
      </c>
    </row>
    <row r="274" spans="1:8" x14ac:dyDescent="0.25">
      <c r="A274" s="1">
        <v>17</v>
      </c>
      <c r="B274" s="1">
        <v>1</v>
      </c>
      <c r="C274" s="1">
        <v>276</v>
      </c>
      <c r="D274" s="1">
        <f t="shared" si="8"/>
        <v>1</v>
      </c>
      <c r="E274" s="24" t="s">
        <v>502</v>
      </c>
      <c r="F274" s="5" t="s">
        <v>503</v>
      </c>
      <c r="G274" s="6" t="s">
        <v>2</v>
      </c>
      <c r="H274" s="7" t="s">
        <v>504</v>
      </c>
    </row>
    <row r="275" spans="1:8" x14ac:dyDescent="0.25">
      <c r="A275" s="1">
        <v>17</v>
      </c>
      <c r="B275" s="1">
        <v>1</v>
      </c>
      <c r="C275" s="1">
        <v>277</v>
      </c>
      <c r="D275" s="1">
        <f t="shared" si="8"/>
        <v>1</v>
      </c>
      <c r="E275" s="24" t="s">
        <v>508</v>
      </c>
      <c r="F275" s="5" t="s">
        <v>509</v>
      </c>
      <c r="G275" s="6" t="s">
        <v>2</v>
      </c>
      <c r="H275" s="7" t="s">
        <v>510</v>
      </c>
    </row>
    <row r="276" spans="1:8" x14ac:dyDescent="0.25">
      <c r="A276" s="1">
        <v>17</v>
      </c>
      <c r="B276" s="1">
        <v>1</v>
      </c>
      <c r="C276" s="1">
        <v>278</v>
      </c>
      <c r="D276" s="1">
        <f t="shared" si="8"/>
        <v>1</v>
      </c>
      <c r="E276" s="24" t="s">
        <v>514</v>
      </c>
      <c r="F276" s="5" t="s">
        <v>515</v>
      </c>
      <c r="G276" s="6" t="s">
        <v>2</v>
      </c>
      <c r="H276" s="7" t="s">
        <v>516</v>
      </c>
    </row>
    <row r="277" spans="1:8" x14ac:dyDescent="0.25">
      <c r="A277" s="1">
        <v>17</v>
      </c>
      <c r="B277" s="1">
        <v>2</v>
      </c>
      <c r="C277" s="1">
        <v>279</v>
      </c>
      <c r="D277" s="1">
        <f t="shared" si="8"/>
        <v>1</v>
      </c>
      <c r="E277" s="24" t="s">
        <v>494</v>
      </c>
      <c r="F277" s="5" t="s">
        <v>144</v>
      </c>
      <c r="G277" s="9" t="s">
        <v>14</v>
      </c>
      <c r="H277" s="7" t="s">
        <v>495</v>
      </c>
    </row>
    <row r="278" spans="1:8" x14ac:dyDescent="0.25">
      <c r="A278" s="1">
        <v>17</v>
      </c>
      <c r="B278" s="1">
        <v>2</v>
      </c>
      <c r="C278" s="1">
        <v>280</v>
      </c>
      <c r="D278" s="1">
        <f t="shared" si="8"/>
        <v>1</v>
      </c>
      <c r="E278" s="24" t="s">
        <v>496</v>
      </c>
      <c r="F278" s="5" t="s">
        <v>144</v>
      </c>
      <c r="G278" s="9" t="s">
        <v>14</v>
      </c>
      <c r="H278" s="7" t="s">
        <v>497</v>
      </c>
    </row>
    <row r="279" spans="1:8" x14ac:dyDescent="0.25">
      <c r="A279" s="1">
        <v>17</v>
      </c>
      <c r="B279" s="1">
        <v>2</v>
      </c>
      <c r="C279" s="1">
        <v>281</v>
      </c>
      <c r="D279" s="1">
        <f t="shared" si="8"/>
        <v>1</v>
      </c>
      <c r="E279" s="27" t="s">
        <v>498</v>
      </c>
      <c r="F279" s="13" t="s">
        <v>144</v>
      </c>
      <c r="G279" s="15" t="s">
        <v>14</v>
      </c>
      <c r="H279" s="14" t="s">
        <v>499</v>
      </c>
    </row>
    <row r="280" spans="1:8" x14ac:dyDescent="0.25">
      <c r="A280" s="1">
        <v>17</v>
      </c>
      <c r="B280" s="1">
        <v>2</v>
      </c>
      <c r="C280" s="1">
        <v>282</v>
      </c>
      <c r="D280" s="1">
        <f t="shared" si="8"/>
        <v>1</v>
      </c>
      <c r="E280" s="24" t="s">
        <v>500</v>
      </c>
      <c r="F280" s="5" t="s">
        <v>144</v>
      </c>
      <c r="G280" s="9" t="s">
        <v>14</v>
      </c>
      <c r="H280" s="7" t="s">
        <v>501</v>
      </c>
    </row>
    <row r="281" spans="1:8" x14ac:dyDescent="0.25">
      <c r="A281" s="1">
        <v>17</v>
      </c>
      <c r="B281" s="1">
        <v>2</v>
      </c>
      <c r="C281" s="1">
        <v>283</v>
      </c>
      <c r="D281" s="1">
        <f t="shared" si="8"/>
        <v>1</v>
      </c>
      <c r="E281" s="24" t="s">
        <v>505</v>
      </c>
      <c r="F281" s="5" t="s">
        <v>506</v>
      </c>
      <c r="G281" s="9" t="s">
        <v>14</v>
      </c>
      <c r="H281" s="7" t="s">
        <v>507</v>
      </c>
    </row>
    <row r="282" spans="1:8" x14ac:dyDescent="0.25">
      <c r="A282" s="1">
        <v>17</v>
      </c>
      <c r="B282" s="1">
        <v>2</v>
      </c>
      <c r="C282" s="1">
        <v>284</v>
      </c>
      <c r="D282" s="1">
        <f t="shared" si="8"/>
        <v>1</v>
      </c>
      <c r="E282" s="24" t="s">
        <v>511</v>
      </c>
      <c r="F282" s="5" t="s">
        <v>512</v>
      </c>
      <c r="G282" s="9" t="s">
        <v>14</v>
      </c>
      <c r="H282" s="7" t="s">
        <v>513</v>
      </c>
    </row>
    <row r="283" spans="1:8" x14ac:dyDescent="0.25">
      <c r="A283" s="1">
        <v>17</v>
      </c>
      <c r="B283" s="1" t="s">
        <v>619</v>
      </c>
      <c r="C283" s="1">
        <v>285</v>
      </c>
      <c r="D283" s="1">
        <f t="shared" si="8"/>
        <v>0</v>
      </c>
      <c r="E283" s="12"/>
      <c r="F283" s="10"/>
      <c r="G283" s="11"/>
      <c r="H283" s="12"/>
    </row>
    <row r="284" spans="1:8" x14ac:dyDescent="0.25">
      <c r="A284" s="1">
        <v>17</v>
      </c>
      <c r="B284" s="1" t="s">
        <v>619</v>
      </c>
      <c r="C284" s="1">
        <v>286</v>
      </c>
      <c r="D284" s="1">
        <f t="shared" si="8"/>
        <v>2</v>
      </c>
      <c r="E284" s="25" t="s">
        <v>615</v>
      </c>
      <c r="F284" s="10"/>
      <c r="G284" s="11"/>
      <c r="H284" s="12"/>
    </row>
    <row r="285" spans="1:8" ht="24" x14ac:dyDescent="0.25">
      <c r="A285" s="1">
        <v>18</v>
      </c>
      <c r="B285" s="1">
        <v>0</v>
      </c>
      <c r="C285" s="1">
        <v>287</v>
      </c>
      <c r="D285" s="1">
        <f t="shared" si="8"/>
        <v>1</v>
      </c>
      <c r="E285" s="24" t="s">
        <v>517</v>
      </c>
      <c r="F285" s="5" t="s">
        <v>518</v>
      </c>
      <c r="G285" s="18" t="s">
        <v>164</v>
      </c>
      <c r="H285" s="7" t="s">
        <v>519</v>
      </c>
    </row>
    <row r="286" spans="1:8" x14ac:dyDescent="0.25">
      <c r="A286" s="1">
        <v>18</v>
      </c>
      <c r="B286" s="1">
        <v>0</v>
      </c>
      <c r="C286" s="1">
        <v>288</v>
      </c>
      <c r="D286" s="1">
        <f t="shared" si="8"/>
        <v>1</v>
      </c>
      <c r="E286" s="24" t="s">
        <v>520</v>
      </c>
      <c r="F286" s="5" t="s">
        <v>8</v>
      </c>
      <c r="G286" s="18" t="s">
        <v>164</v>
      </c>
      <c r="H286" s="7" t="s">
        <v>521</v>
      </c>
    </row>
    <row r="287" spans="1:8" x14ac:dyDescent="0.25">
      <c r="A287" s="1">
        <v>18</v>
      </c>
      <c r="B287" s="1">
        <v>0</v>
      </c>
      <c r="C287" s="1">
        <v>289</v>
      </c>
      <c r="D287" s="1">
        <f t="shared" si="8"/>
        <v>1</v>
      </c>
      <c r="E287" s="24" t="s">
        <v>526</v>
      </c>
      <c r="F287" s="5" t="s">
        <v>515</v>
      </c>
      <c r="G287" s="18" t="s">
        <v>164</v>
      </c>
      <c r="H287" s="7" t="s">
        <v>527</v>
      </c>
    </row>
    <row r="288" spans="1:8" x14ac:dyDescent="0.25">
      <c r="A288" s="1">
        <v>18</v>
      </c>
      <c r="B288" s="1">
        <v>0</v>
      </c>
      <c r="C288" s="1">
        <v>290</v>
      </c>
      <c r="D288" s="1">
        <f t="shared" si="8"/>
        <v>1</v>
      </c>
      <c r="E288" s="24" t="s">
        <v>531</v>
      </c>
      <c r="F288" s="5" t="s">
        <v>532</v>
      </c>
      <c r="G288" s="18" t="s">
        <v>164</v>
      </c>
      <c r="H288" s="7" t="s">
        <v>533</v>
      </c>
    </row>
    <row r="289" spans="1:8" x14ac:dyDescent="0.25">
      <c r="A289" s="1">
        <v>18</v>
      </c>
      <c r="B289" s="1">
        <v>1</v>
      </c>
      <c r="C289" s="1">
        <v>291</v>
      </c>
      <c r="D289" s="1">
        <f t="shared" si="8"/>
        <v>1</v>
      </c>
      <c r="E289" s="24" t="s">
        <v>528</v>
      </c>
      <c r="F289" s="5" t="s">
        <v>529</v>
      </c>
      <c r="G289" s="6" t="s">
        <v>2</v>
      </c>
      <c r="H289" s="7" t="s">
        <v>530</v>
      </c>
    </row>
    <row r="290" spans="1:8" x14ac:dyDescent="0.25">
      <c r="A290" s="1">
        <v>18</v>
      </c>
      <c r="B290" s="1">
        <v>1</v>
      </c>
      <c r="C290" s="1">
        <v>292</v>
      </c>
      <c r="D290" s="1">
        <f t="shared" si="8"/>
        <v>1</v>
      </c>
      <c r="E290" s="24" t="s">
        <v>537</v>
      </c>
      <c r="F290" s="5" t="s">
        <v>515</v>
      </c>
      <c r="G290" s="6" t="s">
        <v>2</v>
      </c>
      <c r="H290" s="7" t="s">
        <v>538</v>
      </c>
    </row>
    <row r="291" spans="1:8" x14ac:dyDescent="0.25">
      <c r="A291" s="1">
        <v>18</v>
      </c>
      <c r="B291" s="1">
        <v>2</v>
      </c>
      <c r="C291" s="1">
        <v>293</v>
      </c>
      <c r="D291" s="1">
        <f t="shared" si="8"/>
        <v>1</v>
      </c>
      <c r="E291" s="24" t="s">
        <v>522</v>
      </c>
      <c r="F291" s="5" t="s">
        <v>503</v>
      </c>
      <c r="G291" s="9" t="s">
        <v>14</v>
      </c>
      <c r="H291" s="7" t="s">
        <v>523</v>
      </c>
    </row>
    <row r="292" spans="1:8" x14ac:dyDescent="0.25">
      <c r="A292" s="1">
        <v>18</v>
      </c>
      <c r="B292" s="1">
        <v>2</v>
      </c>
      <c r="C292" s="1">
        <v>294</v>
      </c>
      <c r="D292" s="1">
        <f t="shared" si="8"/>
        <v>1</v>
      </c>
      <c r="E292" s="27" t="s">
        <v>524</v>
      </c>
      <c r="F292" s="13" t="s">
        <v>503</v>
      </c>
      <c r="G292" s="15" t="s">
        <v>14</v>
      </c>
      <c r="H292" s="14" t="s">
        <v>525</v>
      </c>
    </row>
    <row r="293" spans="1:8" x14ac:dyDescent="0.25">
      <c r="A293" s="1">
        <v>18</v>
      </c>
      <c r="B293" s="1">
        <v>2</v>
      </c>
      <c r="C293" s="1">
        <v>295</v>
      </c>
      <c r="D293" s="1">
        <f t="shared" si="8"/>
        <v>1</v>
      </c>
      <c r="E293" s="24" t="s">
        <v>410</v>
      </c>
      <c r="F293" s="5" t="s">
        <v>91</v>
      </c>
      <c r="G293" s="9" t="s">
        <v>14</v>
      </c>
      <c r="H293" s="7" t="s">
        <v>534</v>
      </c>
    </row>
    <row r="294" spans="1:8" x14ac:dyDescent="0.25">
      <c r="A294" s="1">
        <v>18</v>
      </c>
      <c r="B294" s="1">
        <v>2</v>
      </c>
      <c r="C294" s="1">
        <v>296</v>
      </c>
      <c r="D294" s="1">
        <f t="shared" si="8"/>
        <v>1</v>
      </c>
      <c r="E294" s="24" t="s">
        <v>535</v>
      </c>
      <c r="F294" s="5" t="s">
        <v>8</v>
      </c>
      <c r="G294" s="9" t="s">
        <v>14</v>
      </c>
      <c r="H294" s="7" t="s">
        <v>536</v>
      </c>
    </row>
    <row r="295" spans="1:8" ht="59.25" customHeight="1" x14ac:dyDescent="0.25">
      <c r="A295" s="1">
        <v>18</v>
      </c>
      <c r="B295" s="1" t="s">
        <v>619</v>
      </c>
      <c r="C295" s="1">
        <v>297</v>
      </c>
      <c r="D295" s="1">
        <f t="shared" si="8"/>
        <v>0</v>
      </c>
      <c r="E295" s="12"/>
      <c r="F295" s="10"/>
      <c r="G295" s="11"/>
      <c r="H295" s="12"/>
    </row>
    <row r="296" spans="1:8" x14ac:dyDescent="0.25">
      <c r="A296" s="1">
        <v>18</v>
      </c>
      <c r="B296" s="1" t="s">
        <v>619</v>
      </c>
      <c r="C296" s="1">
        <v>298</v>
      </c>
      <c r="D296" s="1">
        <f t="shared" si="8"/>
        <v>2</v>
      </c>
      <c r="E296" s="25" t="s">
        <v>616</v>
      </c>
      <c r="F296" s="10"/>
      <c r="G296" s="11"/>
      <c r="H296" s="12"/>
    </row>
    <row r="297" spans="1:8" x14ac:dyDescent="0.25">
      <c r="A297" s="1">
        <v>19</v>
      </c>
      <c r="B297" s="1">
        <v>1</v>
      </c>
      <c r="C297" s="1">
        <v>299</v>
      </c>
      <c r="D297" s="1">
        <f t="shared" si="8"/>
        <v>1</v>
      </c>
      <c r="E297" s="24" t="s">
        <v>539</v>
      </c>
      <c r="F297" s="5" t="s">
        <v>150</v>
      </c>
      <c r="G297" s="6" t="s">
        <v>2</v>
      </c>
      <c r="H297" s="7" t="s">
        <v>540</v>
      </c>
    </row>
    <row r="298" spans="1:8" x14ac:dyDescent="0.25">
      <c r="A298" s="1">
        <v>19</v>
      </c>
      <c r="B298" s="1">
        <v>2</v>
      </c>
      <c r="C298" s="1">
        <v>300</v>
      </c>
      <c r="D298" s="1">
        <f t="shared" si="8"/>
        <v>1</v>
      </c>
      <c r="E298" s="24" t="s">
        <v>541</v>
      </c>
      <c r="F298" s="5" t="s">
        <v>103</v>
      </c>
      <c r="G298" s="9" t="s">
        <v>14</v>
      </c>
      <c r="H298" s="7" t="s">
        <v>542</v>
      </c>
    </row>
    <row r="299" spans="1:8" x14ac:dyDescent="0.25">
      <c r="A299" s="1">
        <v>19</v>
      </c>
      <c r="B299" s="1">
        <v>2</v>
      </c>
      <c r="C299" s="1">
        <v>301</v>
      </c>
      <c r="D299" s="1">
        <f t="shared" si="8"/>
        <v>1</v>
      </c>
      <c r="E299" s="24" t="s">
        <v>543</v>
      </c>
      <c r="F299" s="5" t="s">
        <v>150</v>
      </c>
      <c r="G299" s="9" t="s">
        <v>14</v>
      </c>
      <c r="H299" s="7" t="s">
        <v>544</v>
      </c>
    </row>
    <row r="300" spans="1:8" x14ac:dyDescent="0.25">
      <c r="A300" s="1">
        <v>19</v>
      </c>
      <c r="B300" s="1">
        <v>2</v>
      </c>
      <c r="C300" s="1">
        <v>302</v>
      </c>
      <c r="D300" s="1">
        <f t="shared" si="8"/>
        <v>1</v>
      </c>
      <c r="E300" s="24" t="s">
        <v>545</v>
      </c>
      <c r="F300" s="5" t="s">
        <v>546</v>
      </c>
      <c r="G300" s="9" t="s">
        <v>14</v>
      </c>
      <c r="H300" s="7" t="s">
        <v>547</v>
      </c>
    </row>
    <row r="301" spans="1:8" x14ac:dyDescent="0.25">
      <c r="A301" s="1">
        <v>19</v>
      </c>
      <c r="B301" s="1">
        <v>2</v>
      </c>
      <c r="C301" s="1">
        <v>303</v>
      </c>
      <c r="D301" s="1">
        <f t="shared" si="8"/>
        <v>1</v>
      </c>
      <c r="E301" s="24" t="s">
        <v>548</v>
      </c>
      <c r="F301" s="5" t="s">
        <v>212</v>
      </c>
      <c r="G301" s="9" t="s">
        <v>14</v>
      </c>
      <c r="H301" s="7" t="s">
        <v>549</v>
      </c>
    </row>
    <row r="302" spans="1:8" x14ac:dyDescent="0.25">
      <c r="A302" s="1">
        <v>19</v>
      </c>
      <c r="B302" s="1">
        <v>2</v>
      </c>
      <c r="C302" s="1">
        <v>304</v>
      </c>
      <c r="D302" s="1">
        <f t="shared" si="8"/>
        <v>1</v>
      </c>
      <c r="E302" s="24" t="s">
        <v>550</v>
      </c>
      <c r="F302" s="5" t="s">
        <v>551</v>
      </c>
      <c r="G302" s="9" t="s">
        <v>14</v>
      </c>
      <c r="H302" s="7" t="s">
        <v>552</v>
      </c>
    </row>
    <row r="303" spans="1:8" x14ac:dyDescent="0.25">
      <c r="A303" s="1">
        <v>19</v>
      </c>
      <c r="B303" s="1">
        <v>2</v>
      </c>
      <c r="C303" s="1">
        <v>305</v>
      </c>
      <c r="D303" s="1">
        <f t="shared" si="8"/>
        <v>1</v>
      </c>
      <c r="E303" s="24" t="s">
        <v>553</v>
      </c>
      <c r="F303" s="5" t="s">
        <v>158</v>
      </c>
      <c r="G303" s="9" t="s">
        <v>14</v>
      </c>
      <c r="H303" s="7" t="s">
        <v>554</v>
      </c>
    </row>
    <row r="304" spans="1:8" x14ac:dyDescent="0.25">
      <c r="A304" s="1">
        <v>19</v>
      </c>
      <c r="B304" s="1">
        <v>2</v>
      </c>
      <c r="C304" s="1">
        <v>306</v>
      </c>
      <c r="D304" s="1">
        <f t="shared" si="8"/>
        <v>1</v>
      </c>
      <c r="E304" s="24" t="s">
        <v>555</v>
      </c>
      <c r="F304" s="5" t="s">
        <v>96</v>
      </c>
      <c r="G304" s="9" t="s">
        <v>14</v>
      </c>
      <c r="H304" s="7" t="s">
        <v>556</v>
      </c>
    </row>
    <row r="305" spans="1:8" x14ac:dyDescent="0.25">
      <c r="A305" s="1">
        <v>19</v>
      </c>
      <c r="B305" s="1">
        <v>2</v>
      </c>
      <c r="C305" s="1">
        <v>307</v>
      </c>
      <c r="D305" s="1">
        <f t="shared" ref="D305:D330" si="9">IF(E305="",0,IF(E304="",2,1))</f>
        <v>1</v>
      </c>
      <c r="E305" s="27" t="s">
        <v>557</v>
      </c>
      <c r="F305" s="13" t="s">
        <v>96</v>
      </c>
      <c r="G305" s="15" t="s">
        <v>14</v>
      </c>
      <c r="H305" s="14" t="s">
        <v>558</v>
      </c>
    </row>
    <row r="306" spans="1:8" x14ac:dyDescent="0.25">
      <c r="A306" s="1">
        <v>19</v>
      </c>
      <c r="B306" s="1">
        <v>2</v>
      </c>
      <c r="C306" s="1">
        <v>308</v>
      </c>
      <c r="D306" s="1">
        <f t="shared" si="9"/>
        <v>1</v>
      </c>
      <c r="E306" s="24" t="s">
        <v>559</v>
      </c>
      <c r="F306" s="5" t="s">
        <v>212</v>
      </c>
      <c r="G306" s="9" t="s">
        <v>14</v>
      </c>
      <c r="H306" s="7" t="s">
        <v>560</v>
      </c>
    </row>
    <row r="307" spans="1:8" x14ac:dyDescent="0.25">
      <c r="A307" s="1">
        <v>19</v>
      </c>
      <c r="B307" s="1" t="s">
        <v>619</v>
      </c>
      <c r="C307" s="1">
        <v>309</v>
      </c>
      <c r="D307" s="1">
        <f t="shared" si="9"/>
        <v>0</v>
      </c>
      <c r="E307" s="12"/>
      <c r="F307" s="10"/>
      <c r="G307" s="11"/>
      <c r="H307" s="12"/>
    </row>
    <row r="308" spans="1:8" ht="24" x14ac:dyDescent="0.25">
      <c r="A308" s="1">
        <v>19</v>
      </c>
      <c r="B308" s="1" t="s">
        <v>619</v>
      </c>
      <c r="C308" s="1">
        <v>310</v>
      </c>
      <c r="D308" s="1">
        <f t="shared" si="9"/>
        <v>2</v>
      </c>
      <c r="E308" s="25" t="s">
        <v>617</v>
      </c>
      <c r="F308" s="10"/>
      <c r="G308" s="11"/>
      <c r="H308" s="12"/>
    </row>
    <row r="309" spans="1:8" x14ac:dyDescent="0.25">
      <c r="A309" s="1">
        <v>20</v>
      </c>
      <c r="B309" s="1">
        <v>3</v>
      </c>
      <c r="C309" s="1">
        <v>311</v>
      </c>
      <c r="D309" s="1">
        <f t="shared" si="9"/>
        <v>1</v>
      </c>
      <c r="E309" s="24" t="s">
        <v>362</v>
      </c>
      <c r="F309" s="5" t="s">
        <v>96</v>
      </c>
      <c r="G309" s="17" t="s">
        <v>100</v>
      </c>
      <c r="H309" s="7" t="s">
        <v>561</v>
      </c>
    </row>
    <row r="310" spans="1:8" x14ac:dyDescent="0.25">
      <c r="A310" s="1">
        <v>20</v>
      </c>
      <c r="B310" s="1">
        <v>3</v>
      </c>
      <c r="C310" s="1">
        <v>312</v>
      </c>
      <c r="D310" s="1">
        <f t="shared" si="9"/>
        <v>1</v>
      </c>
      <c r="E310" s="24" t="s">
        <v>562</v>
      </c>
      <c r="F310" s="5" t="s">
        <v>96</v>
      </c>
      <c r="G310" s="17" t="s">
        <v>100</v>
      </c>
      <c r="H310" s="7" t="s">
        <v>563</v>
      </c>
    </row>
    <row r="311" spans="1:8" x14ac:dyDescent="0.25">
      <c r="A311" s="1">
        <v>20</v>
      </c>
      <c r="B311" s="1">
        <v>3</v>
      </c>
      <c r="C311" s="1">
        <v>313</v>
      </c>
      <c r="D311" s="1">
        <f t="shared" si="9"/>
        <v>1</v>
      </c>
      <c r="E311" s="24" t="s">
        <v>566</v>
      </c>
      <c r="F311" s="5" t="s">
        <v>485</v>
      </c>
      <c r="G311" s="17" t="s">
        <v>100</v>
      </c>
      <c r="H311" s="7" t="s">
        <v>567</v>
      </c>
    </row>
    <row r="312" spans="1:8" x14ac:dyDescent="0.25">
      <c r="A312" s="1">
        <v>20</v>
      </c>
      <c r="B312" s="1">
        <v>3</v>
      </c>
      <c r="C312" s="1">
        <v>314</v>
      </c>
      <c r="D312" s="1">
        <f t="shared" si="9"/>
        <v>1</v>
      </c>
      <c r="E312" s="24" t="s">
        <v>342</v>
      </c>
      <c r="F312" s="5" t="s">
        <v>343</v>
      </c>
      <c r="G312" s="17" t="s">
        <v>100</v>
      </c>
      <c r="H312" s="7" t="s">
        <v>568</v>
      </c>
    </row>
    <row r="313" spans="1:8" x14ac:dyDescent="0.25">
      <c r="A313" s="1">
        <v>20</v>
      </c>
      <c r="B313" s="1">
        <v>3</v>
      </c>
      <c r="C313" s="1">
        <v>315</v>
      </c>
      <c r="D313" s="1">
        <f t="shared" si="9"/>
        <v>1</v>
      </c>
      <c r="E313" s="24" t="s">
        <v>310</v>
      </c>
      <c r="F313" s="5" t="s">
        <v>485</v>
      </c>
      <c r="G313" s="17" t="s">
        <v>100</v>
      </c>
      <c r="H313" s="7" t="s">
        <v>570</v>
      </c>
    </row>
    <row r="314" spans="1:8" x14ac:dyDescent="0.25">
      <c r="A314" s="1">
        <v>20</v>
      </c>
      <c r="B314" s="1">
        <v>3</v>
      </c>
      <c r="C314" s="1">
        <v>316</v>
      </c>
      <c r="D314" s="1">
        <f t="shared" si="9"/>
        <v>1</v>
      </c>
      <c r="E314" s="24" t="s">
        <v>366</v>
      </c>
      <c r="F314" s="5" t="s">
        <v>153</v>
      </c>
      <c r="G314" s="17" t="s">
        <v>100</v>
      </c>
      <c r="H314" s="7" t="s">
        <v>571</v>
      </c>
    </row>
    <row r="315" spans="1:8" x14ac:dyDescent="0.25">
      <c r="A315" s="1">
        <v>20</v>
      </c>
      <c r="B315" s="1">
        <v>3</v>
      </c>
      <c r="C315" s="1">
        <v>317</v>
      </c>
      <c r="D315" s="1">
        <f t="shared" si="9"/>
        <v>1</v>
      </c>
      <c r="E315" s="24" t="s">
        <v>312</v>
      </c>
      <c r="F315" s="5" t="s">
        <v>485</v>
      </c>
      <c r="G315" s="17" t="s">
        <v>100</v>
      </c>
      <c r="H315" s="7" t="s">
        <v>575</v>
      </c>
    </row>
    <row r="316" spans="1:8" x14ac:dyDescent="0.25">
      <c r="A316" s="1">
        <v>20</v>
      </c>
      <c r="B316" s="1" t="s">
        <v>619</v>
      </c>
      <c r="C316" s="1">
        <v>318</v>
      </c>
      <c r="D316" s="1">
        <f t="shared" si="9"/>
        <v>1</v>
      </c>
      <c r="E316" s="24" t="s">
        <v>564</v>
      </c>
      <c r="F316" s="5" t="s">
        <v>485</v>
      </c>
      <c r="G316" s="21" t="s">
        <v>347</v>
      </c>
      <c r="H316" s="7" t="s">
        <v>565</v>
      </c>
    </row>
    <row r="317" spans="1:8" x14ac:dyDescent="0.25">
      <c r="A317" s="1">
        <v>20</v>
      </c>
      <c r="B317" s="1" t="s">
        <v>619</v>
      </c>
      <c r="C317" s="1">
        <v>319</v>
      </c>
      <c r="D317" s="1">
        <f t="shared" si="9"/>
        <v>1</v>
      </c>
      <c r="E317" s="24" t="s">
        <v>345</v>
      </c>
      <c r="F317" s="5" t="s">
        <v>346</v>
      </c>
      <c r="G317" s="21" t="s">
        <v>347</v>
      </c>
      <c r="H317" s="7" t="s">
        <v>569</v>
      </c>
    </row>
    <row r="318" spans="1:8" x14ac:dyDescent="0.25">
      <c r="A318" s="1">
        <v>20</v>
      </c>
      <c r="B318" s="1" t="s">
        <v>619</v>
      </c>
      <c r="C318" s="1">
        <v>320</v>
      </c>
      <c r="D318" s="1">
        <f t="shared" si="9"/>
        <v>1</v>
      </c>
      <c r="E318" s="24" t="s">
        <v>572</v>
      </c>
      <c r="F318" s="5" t="s">
        <v>573</v>
      </c>
      <c r="G318" s="21" t="s">
        <v>347</v>
      </c>
      <c r="H318" s="7" t="s">
        <v>574</v>
      </c>
    </row>
    <row r="319" spans="1:8" x14ac:dyDescent="0.25">
      <c r="A319" s="1">
        <v>20</v>
      </c>
      <c r="B319" s="1" t="s">
        <v>619</v>
      </c>
      <c r="C319" s="1">
        <v>321</v>
      </c>
      <c r="D319" s="1">
        <f t="shared" si="9"/>
        <v>1</v>
      </c>
      <c r="E319" s="27" t="s">
        <v>356</v>
      </c>
      <c r="F319" s="13" t="s">
        <v>573</v>
      </c>
      <c r="G319" s="22" t="s">
        <v>347</v>
      </c>
      <c r="H319" s="14" t="s">
        <v>357</v>
      </c>
    </row>
    <row r="320" spans="1:8" x14ac:dyDescent="0.25">
      <c r="A320" s="1">
        <v>20</v>
      </c>
      <c r="B320" s="1" t="s">
        <v>619</v>
      </c>
      <c r="C320" s="1">
        <v>322</v>
      </c>
      <c r="D320" s="1">
        <f t="shared" si="9"/>
        <v>0</v>
      </c>
      <c r="E320" s="12"/>
      <c r="F320" s="10"/>
      <c r="G320" s="11"/>
      <c r="H320" s="12"/>
    </row>
    <row r="321" spans="1:8" x14ac:dyDescent="0.25">
      <c r="A321" s="1">
        <v>20</v>
      </c>
      <c r="B321" s="1" t="s">
        <v>619</v>
      </c>
      <c r="C321" s="1">
        <v>323</v>
      </c>
      <c r="D321" s="1">
        <f t="shared" si="9"/>
        <v>2</v>
      </c>
      <c r="E321" s="25" t="s">
        <v>618</v>
      </c>
      <c r="F321" s="10"/>
      <c r="G321" s="11"/>
      <c r="H321" s="12"/>
    </row>
    <row r="322" spans="1:8" x14ac:dyDescent="0.25">
      <c r="A322" s="1">
        <v>21</v>
      </c>
      <c r="B322" s="1">
        <v>0</v>
      </c>
      <c r="C322" s="1">
        <v>324</v>
      </c>
      <c r="D322" s="1">
        <f t="shared" si="9"/>
        <v>1</v>
      </c>
      <c r="E322" s="24" t="s">
        <v>576</v>
      </c>
      <c r="F322" s="5" t="s">
        <v>518</v>
      </c>
      <c r="G322" s="18" t="s">
        <v>164</v>
      </c>
      <c r="H322" s="7" t="s">
        <v>577</v>
      </c>
    </row>
    <row r="323" spans="1:8" x14ac:dyDescent="0.25">
      <c r="A323" s="1">
        <v>21</v>
      </c>
      <c r="B323" s="1">
        <v>0</v>
      </c>
      <c r="C323" s="1">
        <v>325</v>
      </c>
      <c r="D323" s="1">
        <f t="shared" si="9"/>
        <v>1</v>
      </c>
      <c r="E323" s="24" t="s">
        <v>578</v>
      </c>
      <c r="F323" s="5" t="s">
        <v>532</v>
      </c>
      <c r="G323" s="18" t="s">
        <v>164</v>
      </c>
      <c r="H323" s="7" t="s">
        <v>579</v>
      </c>
    </row>
    <row r="324" spans="1:8" x14ac:dyDescent="0.25">
      <c r="A324" s="1">
        <v>21</v>
      </c>
      <c r="B324" s="1">
        <v>0</v>
      </c>
      <c r="C324" s="1">
        <v>326</v>
      </c>
      <c r="D324" s="1">
        <f t="shared" si="9"/>
        <v>1</v>
      </c>
      <c r="E324" s="24" t="s">
        <v>580</v>
      </c>
      <c r="F324" s="5" t="s">
        <v>518</v>
      </c>
      <c r="G324" s="18" t="s">
        <v>164</v>
      </c>
      <c r="H324" s="7" t="s">
        <v>581</v>
      </c>
    </row>
    <row r="325" spans="1:8" x14ac:dyDescent="0.25">
      <c r="A325" s="1">
        <v>21</v>
      </c>
      <c r="B325" s="1">
        <v>0</v>
      </c>
      <c r="C325" s="1">
        <v>327</v>
      </c>
      <c r="D325" s="1">
        <f t="shared" si="9"/>
        <v>1</v>
      </c>
      <c r="E325" s="24" t="s">
        <v>592</v>
      </c>
      <c r="F325" s="5" t="s">
        <v>593</v>
      </c>
      <c r="G325" s="18" t="s">
        <v>164</v>
      </c>
      <c r="H325" s="7" t="s">
        <v>594</v>
      </c>
    </row>
    <row r="326" spans="1:8" x14ac:dyDescent="0.25">
      <c r="A326" s="1">
        <v>21</v>
      </c>
      <c r="B326" s="1">
        <v>1</v>
      </c>
      <c r="C326" s="1">
        <v>328</v>
      </c>
      <c r="D326" s="1">
        <f t="shared" si="9"/>
        <v>1</v>
      </c>
      <c r="E326" s="24" t="s">
        <v>585</v>
      </c>
      <c r="F326" s="5" t="s">
        <v>385</v>
      </c>
      <c r="G326" s="6" t="s">
        <v>2</v>
      </c>
      <c r="H326" s="7" t="s">
        <v>586</v>
      </c>
    </row>
    <row r="327" spans="1:8" x14ac:dyDescent="0.25">
      <c r="A327" s="1">
        <v>21</v>
      </c>
      <c r="B327" s="1">
        <v>1</v>
      </c>
      <c r="C327" s="1">
        <v>329</v>
      </c>
      <c r="D327" s="1">
        <f t="shared" si="9"/>
        <v>1</v>
      </c>
      <c r="E327" s="24" t="s">
        <v>587</v>
      </c>
      <c r="F327" s="5" t="s">
        <v>518</v>
      </c>
      <c r="G327" s="6" t="s">
        <v>2</v>
      </c>
      <c r="H327" s="7" t="s">
        <v>588</v>
      </c>
    </row>
    <row r="328" spans="1:8" x14ac:dyDescent="0.25">
      <c r="A328" s="1">
        <v>21</v>
      </c>
      <c r="B328" s="1">
        <v>2</v>
      </c>
      <c r="C328" s="1">
        <v>330</v>
      </c>
      <c r="D328" s="1">
        <f t="shared" si="9"/>
        <v>1</v>
      </c>
      <c r="E328" s="24" t="s">
        <v>582</v>
      </c>
      <c r="F328" s="5" t="s">
        <v>583</v>
      </c>
      <c r="G328" s="9" t="s">
        <v>14</v>
      </c>
      <c r="H328" s="7" t="s">
        <v>584</v>
      </c>
    </row>
    <row r="329" spans="1:8" x14ac:dyDescent="0.25">
      <c r="A329" s="1">
        <v>21</v>
      </c>
      <c r="B329" s="1">
        <v>2</v>
      </c>
      <c r="C329" s="1">
        <v>331</v>
      </c>
      <c r="D329" s="1">
        <f t="shared" si="9"/>
        <v>1</v>
      </c>
      <c r="E329" s="24" t="s">
        <v>595</v>
      </c>
      <c r="F329" s="5" t="s">
        <v>596</v>
      </c>
      <c r="G329" s="9" t="s">
        <v>14</v>
      </c>
      <c r="H329" s="7" t="s">
        <v>597</v>
      </c>
    </row>
    <row r="330" spans="1:8" x14ac:dyDescent="0.25">
      <c r="A330" s="1">
        <v>21</v>
      </c>
      <c r="B330" s="1">
        <v>3</v>
      </c>
      <c r="C330" s="1">
        <v>332</v>
      </c>
      <c r="D330" s="1">
        <f t="shared" si="9"/>
        <v>1</v>
      </c>
      <c r="E330" s="24" t="s">
        <v>589</v>
      </c>
      <c r="F330" s="5" t="s">
        <v>590</v>
      </c>
      <c r="G330" s="17" t="s">
        <v>100</v>
      </c>
      <c r="H330" s="7" t="s">
        <v>591</v>
      </c>
    </row>
  </sheetData>
  <sortState xmlns:xlrd2="http://schemas.microsoft.com/office/spreadsheetml/2017/richdata2" ref="A1:H375">
    <sortCondition ref="A1:A375"/>
    <sortCondition ref="B1:B375"/>
    <sortCondition ref="C1:C375"/>
  </sortState>
  <conditionalFormatting sqref="A1:H4 D5:H9 A5:C330 D7:D14 D10:E13 D14:H37 D38:E44 D38:D45 D45:H50 D50:D53 D51:E53 D54:H96 D97:E98 D99:H109 D110:E111 D112:H330">
    <cfRule type="expression" dxfId="1" priority="4">
      <formula>$D1=2</formula>
    </cfRule>
  </conditionalFormatting>
  <conditionalFormatting sqref="A1:H330">
    <cfRule type="expression" dxfId="0" priority="1">
      <formula>AND(MOD(ROW(),2)=0,$D1=1)</formula>
    </cfRule>
  </conditionalFormatting>
  <pageMargins left="0.25" right="0.25" top="0.75" bottom="0.75" header="0.3" footer="0.3"/>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René Smit</cp:lastModifiedBy>
  <cp:lastPrinted>2026-03-07T05:35:10Z</cp:lastPrinted>
  <dcterms:created xsi:type="dcterms:W3CDTF">2026-03-04T15:08:26Z</dcterms:created>
  <dcterms:modified xsi:type="dcterms:W3CDTF">2026-03-07T05:36:50Z</dcterms:modified>
</cp:coreProperties>
</file>